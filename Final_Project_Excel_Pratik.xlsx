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4.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5.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SUS\Desktop\RNW\Excel\"/>
    </mc:Choice>
  </mc:AlternateContent>
  <xr:revisionPtr revIDLastSave="0" documentId="13_ncr:1_{C65C116B-F640-4572-B90C-A3BFE87AFEE0}" xr6:coauthVersionLast="47" xr6:coauthVersionMax="47" xr10:uidLastSave="{00000000-0000-0000-0000-000000000000}"/>
  <bookViews>
    <workbookView xWindow="-108" yWindow="-108" windowWidth="23256" windowHeight="12456" firstSheet="10" activeTab="16" xr2:uid="{00000000-000D-0000-FFFF-FFFF00000000}"/>
  </bookViews>
  <sheets>
    <sheet name="Project Instructions" sheetId="1" r:id="rId1"/>
    <sheet name="Final Project Dataset" sheetId="2" r:id="rId2"/>
    <sheet name="Task_1_DT" sheetId="3" r:id="rId3"/>
    <sheet name="Task_2_Fltr" sheetId="4" r:id="rId4"/>
    <sheet name="Task_3_CF" sheetId="5" r:id="rId5"/>
    <sheet name="Task_4_TS" sheetId="6" r:id="rId6"/>
    <sheet name="Task_5_WA" sheetId="7" r:id="rId7"/>
    <sheet name="Scenario Summary" sheetId="8" r:id="rId8"/>
    <sheet name="Task_6 LR" sheetId="11" r:id="rId9"/>
    <sheet name="Task_7_DA" sheetId="12" r:id="rId10"/>
    <sheet name="Task_8 HVC" sheetId="13" r:id="rId11"/>
    <sheet name="Task_9FP" sheetId="15" r:id="rId12"/>
    <sheet name="Task_10_LC" sheetId="16" r:id="rId13"/>
    <sheet name="Task_11_ABB" sheetId="18" r:id="rId14"/>
    <sheet name="Final_Report" sheetId="19" r:id="rId15"/>
    <sheet name="Pivot_Table" sheetId="21" r:id="rId16"/>
    <sheet name="Dashboard" sheetId="20" r:id="rId17"/>
  </sheets>
  <definedNames>
    <definedName name="_xlnm._FilterDatabase" localSheetId="1" hidden="1">'Final Project Dataset'!$A$1:$N$251</definedName>
    <definedName name="NativeTimeline_Date">#N/A</definedName>
    <definedName name="Slicer_Category">#N/A</definedName>
    <definedName name="Slicer_Region">#N/A</definedName>
  </definedNames>
  <calcPr calcId="191029" iterate="1"/>
  <pivotCaches>
    <pivotCache cacheId="0"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64" i="20" l="1"/>
  <c r="AJ51" i="20"/>
  <c r="AJ38" i="20"/>
  <c r="AJ25" i="20"/>
  <c r="B12" i="7"/>
  <c r="B15" i="7" s="1"/>
  <c r="B3" i="7"/>
  <c r="C34" i="3"/>
  <c r="B30" i="19" a="1"/>
  <c r="B30" i="19" s="1"/>
  <c r="B29" i="19" a="1"/>
  <c r="B29" i="19" s="1"/>
  <c r="B28" i="19"/>
  <c r="B27" i="19" a="1"/>
  <c r="B27" i="19" s="1"/>
  <c r="B26" i="19"/>
  <c r="H20" i="19"/>
  <c r="H19" i="19"/>
  <c r="H18" i="19"/>
  <c r="H17" i="19"/>
  <c r="B19" i="19"/>
  <c r="B18" i="19"/>
  <c r="B17" i="19"/>
  <c r="B20" i="19" s="1" a="1"/>
  <c r="B20" i="19" s="1"/>
  <c r="H10" i="19"/>
  <c r="H11" i="19"/>
  <c r="H9" i="19"/>
  <c r="H8" i="19"/>
  <c r="H7" i="19"/>
  <c r="E9" i="19"/>
  <c r="E8" i="19"/>
  <c r="E7" i="19"/>
  <c r="B14" i="19"/>
  <c r="B13" i="19"/>
  <c r="B12" i="19" a="1"/>
  <c r="B12" i="19" s="1"/>
  <c r="B11" i="19"/>
  <c r="B10" i="19"/>
  <c r="B9" i="19"/>
  <c r="B8" i="19"/>
  <c r="B7" i="19"/>
  <c r="B4" i="19"/>
  <c r="B3" i="19"/>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M52" i="18"/>
  <c r="M53" i="18"/>
  <c r="M54" i="18"/>
  <c r="M55" i="18"/>
  <c r="M56" i="18"/>
  <c r="M57" i="18"/>
  <c r="M58" i="18"/>
  <c r="M59" i="18"/>
  <c r="M60" i="18"/>
  <c r="M61" i="18"/>
  <c r="M62" i="18"/>
  <c r="M63" i="18"/>
  <c r="M64" i="18"/>
  <c r="M65" i="18"/>
  <c r="M66" i="18"/>
  <c r="M67" i="18"/>
  <c r="M68" i="18"/>
  <c r="M69" i="18"/>
  <c r="M70" i="18"/>
  <c r="M71" i="18"/>
  <c r="M72" i="18"/>
  <c r="M73" i="18"/>
  <c r="M74" i="18"/>
  <c r="M75" i="18"/>
  <c r="M76" i="18"/>
  <c r="M77" i="18"/>
  <c r="M78" i="18"/>
  <c r="M79" i="18"/>
  <c r="M80" i="18"/>
  <c r="M81" i="18"/>
  <c r="M82" i="18"/>
  <c r="M83" i="18"/>
  <c r="M84" i="18"/>
  <c r="M85" i="18"/>
  <c r="M86" i="18"/>
  <c r="M87" i="18"/>
  <c r="M88" i="18"/>
  <c r="M89" i="18"/>
  <c r="M90" i="18"/>
  <c r="M91" i="18"/>
  <c r="M92" i="18"/>
  <c r="M93" i="18"/>
  <c r="M94" i="18"/>
  <c r="M95" i="18"/>
  <c r="M96" i="18"/>
  <c r="M97" i="18"/>
  <c r="M98" i="18"/>
  <c r="M99" i="18"/>
  <c r="M100" i="18"/>
  <c r="M101" i="18"/>
  <c r="M102" i="18"/>
  <c r="M103" i="18"/>
  <c r="M104" i="18"/>
  <c r="M105" i="18"/>
  <c r="M106" i="18"/>
  <c r="M107" i="18"/>
  <c r="M108" i="18"/>
  <c r="M109" i="18"/>
  <c r="M110" i="18"/>
  <c r="M111" i="18"/>
  <c r="M112" i="18"/>
  <c r="M113" i="18"/>
  <c r="M114" i="18"/>
  <c r="M115" i="18"/>
  <c r="M116" i="18"/>
  <c r="M117" i="18"/>
  <c r="M118" i="18"/>
  <c r="M119" i="18"/>
  <c r="M120" i="18"/>
  <c r="M121" i="18"/>
  <c r="M122" i="18"/>
  <c r="M123" i="18"/>
  <c r="M124" i="18"/>
  <c r="M125" i="18"/>
  <c r="M126" i="18"/>
  <c r="M127" i="18"/>
  <c r="M128" i="18"/>
  <c r="M129" i="18"/>
  <c r="M130" i="18"/>
  <c r="M131" i="18"/>
  <c r="M132" i="18"/>
  <c r="M133" i="18"/>
  <c r="M134" i="18"/>
  <c r="M135" i="18"/>
  <c r="M136" i="18"/>
  <c r="M137" i="18"/>
  <c r="M138" i="18"/>
  <c r="M139" i="18"/>
  <c r="M140" i="18"/>
  <c r="M141" i="18"/>
  <c r="M142" i="18"/>
  <c r="M143" i="18"/>
  <c r="M144" i="18"/>
  <c r="M145" i="18"/>
  <c r="M146" i="18"/>
  <c r="M147" i="18"/>
  <c r="M148" i="18"/>
  <c r="M149" i="18"/>
  <c r="M150" i="18"/>
  <c r="M151" i="18"/>
  <c r="M152" i="18"/>
  <c r="M153" i="18"/>
  <c r="M154" i="18"/>
  <c r="M155" i="18"/>
  <c r="M156" i="18"/>
  <c r="M157" i="18"/>
  <c r="M158" i="18"/>
  <c r="M159" i="18"/>
  <c r="M160" i="18"/>
  <c r="M161" i="18"/>
  <c r="M162" i="18"/>
  <c r="M163" i="18"/>
  <c r="M164" i="18"/>
  <c r="M165" i="18"/>
  <c r="M166" i="18"/>
  <c r="M167" i="18"/>
  <c r="M168" i="18"/>
  <c r="M169" i="18"/>
  <c r="M170" i="18"/>
  <c r="M171" i="18"/>
  <c r="M172" i="18"/>
  <c r="M173" i="18"/>
  <c r="M174" i="18"/>
  <c r="M175" i="18"/>
  <c r="M176" i="18"/>
  <c r="M177" i="18"/>
  <c r="M178" i="18"/>
  <c r="M179" i="18"/>
  <c r="M180" i="18"/>
  <c r="M181" i="18"/>
  <c r="M182" i="18"/>
  <c r="M183" i="18"/>
  <c r="M184" i="18"/>
  <c r="M185" i="18"/>
  <c r="M186" i="18"/>
  <c r="M187" i="18"/>
  <c r="M188" i="18"/>
  <c r="M189" i="18"/>
  <c r="M190" i="18"/>
  <c r="M191" i="18"/>
  <c r="M192" i="18"/>
  <c r="M193" i="18"/>
  <c r="M194" i="18"/>
  <c r="M195" i="18"/>
  <c r="M196" i="18"/>
  <c r="M197" i="18"/>
  <c r="M198" i="18"/>
  <c r="M199" i="18"/>
  <c r="M200" i="18"/>
  <c r="M201" i="18"/>
  <c r="M202" i="18"/>
  <c r="M203" i="18"/>
  <c r="M204" i="18"/>
  <c r="M205" i="18"/>
  <c r="M206" i="18"/>
  <c r="M207" i="18"/>
  <c r="M208" i="18"/>
  <c r="M209" i="18"/>
  <c r="M210" i="18"/>
  <c r="M211" i="18"/>
  <c r="M212" i="18"/>
  <c r="M213" i="18"/>
  <c r="M214" i="18"/>
  <c r="M215" i="18"/>
  <c r="M216" i="18"/>
  <c r="M217" i="18"/>
  <c r="M218" i="18"/>
  <c r="M219" i="18"/>
  <c r="M220" i="18"/>
  <c r="M221" i="18"/>
  <c r="M222" i="18"/>
  <c r="M223" i="18"/>
  <c r="M224" i="18"/>
  <c r="M225" i="18"/>
  <c r="M226" i="18"/>
  <c r="M227" i="18"/>
  <c r="M228" i="18"/>
  <c r="M229" i="18"/>
  <c r="M230" i="18"/>
  <c r="M231" i="18"/>
  <c r="M232" i="18"/>
  <c r="M233" i="18"/>
  <c r="M234" i="18"/>
  <c r="M235" i="18"/>
  <c r="M236" i="18"/>
  <c r="M237" i="18"/>
  <c r="M238" i="18"/>
  <c r="M239" i="18"/>
  <c r="M240" i="18"/>
  <c r="M241" i="18"/>
  <c r="M242" i="18"/>
  <c r="M243" i="18"/>
  <c r="M244" i="18"/>
  <c r="M245" i="18"/>
  <c r="M246" i="18"/>
  <c r="M247" i="18"/>
  <c r="M248" i="18"/>
  <c r="M249" i="18"/>
  <c r="M250" i="18"/>
  <c r="M251" i="18"/>
  <c r="M2"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L52" i="18"/>
  <c r="L53" i="18"/>
  <c r="L54" i="18"/>
  <c r="L55" i="18"/>
  <c r="L56" i="18"/>
  <c r="L57" i="18"/>
  <c r="L58" i="18"/>
  <c r="L59" i="18"/>
  <c r="L60" i="18"/>
  <c r="L61" i="18"/>
  <c r="L62" i="18"/>
  <c r="L63" i="18"/>
  <c r="L64" i="18"/>
  <c r="L65" i="18"/>
  <c r="L66" i="18"/>
  <c r="L67" i="18"/>
  <c r="L68" i="18"/>
  <c r="L69" i="18"/>
  <c r="L70" i="18"/>
  <c r="L71" i="18"/>
  <c r="L72" i="18"/>
  <c r="L73" i="18"/>
  <c r="L74" i="18"/>
  <c r="L75" i="18"/>
  <c r="L76" i="18"/>
  <c r="L77" i="18"/>
  <c r="L78" i="18"/>
  <c r="L79" i="18"/>
  <c r="L80" i="18"/>
  <c r="L81" i="18"/>
  <c r="L82" i="18"/>
  <c r="L83" i="18"/>
  <c r="L84" i="18"/>
  <c r="L85" i="18"/>
  <c r="L86" i="18"/>
  <c r="L87" i="18"/>
  <c r="L88" i="18"/>
  <c r="L89" i="18"/>
  <c r="L90" i="18"/>
  <c r="L91" i="18"/>
  <c r="L92" i="18"/>
  <c r="L93" i="18"/>
  <c r="L94" i="18"/>
  <c r="L95" i="18"/>
  <c r="L96" i="18"/>
  <c r="L97" i="18"/>
  <c r="L98" i="18"/>
  <c r="L99" i="18"/>
  <c r="L100" i="18"/>
  <c r="L101" i="18"/>
  <c r="L102" i="18"/>
  <c r="L103" i="18"/>
  <c r="L104" i="18"/>
  <c r="L105" i="18"/>
  <c r="L106" i="18"/>
  <c r="L107" i="18"/>
  <c r="L108" i="18"/>
  <c r="L109" i="18"/>
  <c r="L110" i="18"/>
  <c r="L111" i="18"/>
  <c r="L112" i="18"/>
  <c r="L113" i="18"/>
  <c r="L114" i="18"/>
  <c r="L115" i="18"/>
  <c r="L116" i="18"/>
  <c r="L117" i="18"/>
  <c r="L118" i="18"/>
  <c r="L119" i="18"/>
  <c r="L120" i="18"/>
  <c r="L121" i="18"/>
  <c r="L122" i="18"/>
  <c r="L123" i="18"/>
  <c r="L124" i="18"/>
  <c r="L125" i="18"/>
  <c r="L126" i="18"/>
  <c r="L127" i="18"/>
  <c r="L128" i="18"/>
  <c r="L129" i="18"/>
  <c r="L130" i="18"/>
  <c r="L131" i="18"/>
  <c r="L132" i="18"/>
  <c r="L133" i="18"/>
  <c r="L134" i="18"/>
  <c r="L135" i="18"/>
  <c r="L136" i="18"/>
  <c r="L137" i="18"/>
  <c r="L138" i="18"/>
  <c r="L139" i="18"/>
  <c r="L140" i="18"/>
  <c r="L141" i="18"/>
  <c r="L142" i="18"/>
  <c r="L143" i="18"/>
  <c r="L144" i="18"/>
  <c r="L145" i="18"/>
  <c r="L146" i="18"/>
  <c r="L147" i="18"/>
  <c r="L148" i="18"/>
  <c r="L149" i="18"/>
  <c r="L150" i="18"/>
  <c r="L151" i="18"/>
  <c r="L152" i="18"/>
  <c r="L153" i="18"/>
  <c r="L154" i="18"/>
  <c r="L155" i="18"/>
  <c r="L156" i="18"/>
  <c r="L157" i="18"/>
  <c r="L158" i="18"/>
  <c r="L159" i="18"/>
  <c r="L160" i="18"/>
  <c r="L161" i="18"/>
  <c r="L162" i="18"/>
  <c r="L163" i="18"/>
  <c r="L164" i="18"/>
  <c r="L165" i="18"/>
  <c r="L166" i="18"/>
  <c r="L167" i="18"/>
  <c r="L168" i="18"/>
  <c r="L169" i="18"/>
  <c r="L170" i="18"/>
  <c r="L171" i="18"/>
  <c r="L172" i="18"/>
  <c r="L173" i="18"/>
  <c r="L174" i="18"/>
  <c r="L175" i="18"/>
  <c r="L176" i="18"/>
  <c r="L177" i="18"/>
  <c r="L178" i="18"/>
  <c r="L179" i="18"/>
  <c r="L180" i="18"/>
  <c r="L181" i="18"/>
  <c r="L182" i="18"/>
  <c r="L183" i="18"/>
  <c r="L184" i="18"/>
  <c r="L185" i="18"/>
  <c r="L186" i="18"/>
  <c r="L187" i="18"/>
  <c r="L188" i="18"/>
  <c r="L189" i="18"/>
  <c r="L190" i="18"/>
  <c r="L191" i="18"/>
  <c r="L192" i="18"/>
  <c r="L193" i="18"/>
  <c r="L194" i="18"/>
  <c r="L195" i="18"/>
  <c r="L196" i="18"/>
  <c r="L197" i="18"/>
  <c r="L198" i="18"/>
  <c r="L199" i="18"/>
  <c r="L200" i="18"/>
  <c r="L201" i="18"/>
  <c r="L202" i="18"/>
  <c r="L203" i="18"/>
  <c r="L204" i="18"/>
  <c r="L205" i="18"/>
  <c r="L206" i="18"/>
  <c r="L207" i="18"/>
  <c r="L208" i="18"/>
  <c r="L209" i="18"/>
  <c r="L210" i="18"/>
  <c r="L211" i="18"/>
  <c r="L212" i="18"/>
  <c r="L213" i="18"/>
  <c r="L214" i="18"/>
  <c r="L215" i="18"/>
  <c r="L216" i="18"/>
  <c r="L217" i="18"/>
  <c r="L218" i="18"/>
  <c r="L219" i="18"/>
  <c r="L220" i="18"/>
  <c r="L221" i="18"/>
  <c r="L222" i="18"/>
  <c r="L223" i="18"/>
  <c r="L224" i="18"/>
  <c r="L225" i="18"/>
  <c r="L226" i="18"/>
  <c r="L227" i="18"/>
  <c r="L228" i="18"/>
  <c r="L229" i="18"/>
  <c r="L230" i="18"/>
  <c r="L231" i="18"/>
  <c r="L232" i="18"/>
  <c r="L233" i="18"/>
  <c r="L234" i="18"/>
  <c r="L235" i="18"/>
  <c r="L236" i="18"/>
  <c r="L237" i="18"/>
  <c r="L238" i="18"/>
  <c r="L239" i="18"/>
  <c r="L240" i="18"/>
  <c r="L241" i="18"/>
  <c r="L242" i="18"/>
  <c r="L243" i="18"/>
  <c r="L244" i="18"/>
  <c r="L245" i="18"/>
  <c r="L246" i="18"/>
  <c r="L247" i="18"/>
  <c r="L248" i="18"/>
  <c r="L249" i="18"/>
  <c r="L250" i="18"/>
  <c r="L251"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K146" i="18"/>
  <c r="K147" i="18"/>
  <c r="K148" i="18"/>
  <c r="K149" i="18"/>
  <c r="K150" i="18"/>
  <c r="K151" i="18"/>
  <c r="K152" i="18"/>
  <c r="K153" i="18"/>
  <c r="K154" i="18"/>
  <c r="K155" i="18"/>
  <c r="K156" i="18"/>
  <c r="K157" i="18"/>
  <c r="K158" i="18"/>
  <c r="K159"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1" i="18"/>
  <c r="K192" i="18"/>
  <c r="K193" i="18"/>
  <c r="K194" i="18"/>
  <c r="K195" i="18"/>
  <c r="K196" i="18"/>
  <c r="K197" i="18"/>
  <c r="K198" i="18"/>
  <c r="K199" i="18"/>
  <c r="K200" i="18"/>
  <c r="K201" i="18"/>
  <c r="K202" i="18"/>
  <c r="K203" i="18"/>
  <c r="K204" i="18"/>
  <c r="K205" i="18"/>
  <c r="K206" i="18"/>
  <c r="K207" i="18"/>
  <c r="K208" i="18"/>
  <c r="K209" i="18"/>
  <c r="K210" i="18"/>
  <c r="K211" i="18"/>
  <c r="K212" i="18"/>
  <c r="K213" i="18"/>
  <c r="K214" i="18"/>
  <c r="K215" i="18"/>
  <c r="K216" i="18"/>
  <c r="K217" i="18"/>
  <c r="K218" i="18"/>
  <c r="K219" i="18"/>
  <c r="K220" i="18"/>
  <c r="K221" i="18"/>
  <c r="K222" i="18"/>
  <c r="K223" i="18"/>
  <c r="K224" i="18"/>
  <c r="K225" i="18"/>
  <c r="K226" i="18"/>
  <c r="K227" i="18"/>
  <c r="K228" i="18"/>
  <c r="K229" i="18"/>
  <c r="K230" i="18"/>
  <c r="K231" i="18"/>
  <c r="K232" i="18"/>
  <c r="K233" i="18"/>
  <c r="K234" i="18"/>
  <c r="K235" i="18"/>
  <c r="K236" i="18"/>
  <c r="K237" i="18"/>
  <c r="K238" i="18"/>
  <c r="K239" i="18"/>
  <c r="K240" i="18"/>
  <c r="K241" i="18"/>
  <c r="K242" i="18"/>
  <c r="K243" i="18"/>
  <c r="K244" i="18"/>
  <c r="K245" i="18"/>
  <c r="K246" i="18"/>
  <c r="K247" i="18"/>
  <c r="K248" i="18"/>
  <c r="K249" i="18"/>
  <c r="K250" i="18"/>
  <c r="K251" i="18"/>
  <c r="K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J52" i="18"/>
  <c r="J53" i="18"/>
  <c r="J54" i="18"/>
  <c r="J55" i="18"/>
  <c r="J56" i="18"/>
  <c r="J57" i="18"/>
  <c r="J58" i="18"/>
  <c r="J59" i="18"/>
  <c r="J60" i="18"/>
  <c r="J61" i="18"/>
  <c r="J62" i="18"/>
  <c r="J63" i="18"/>
  <c r="J64" i="18"/>
  <c r="J65" i="18"/>
  <c r="J66" i="18"/>
  <c r="J67" i="18"/>
  <c r="J68" i="18"/>
  <c r="J69" i="18"/>
  <c r="J70" i="18"/>
  <c r="J71" i="18"/>
  <c r="J72" i="18"/>
  <c r="J73" i="18"/>
  <c r="J74" i="18"/>
  <c r="J75" i="18"/>
  <c r="J76" i="18"/>
  <c r="J77" i="18"/>
  <c r="J78" i="18"/>
  <c r="J79" i="18"/>
  <c r="J80" i="18"/>
  <c r="J81" i="18"/>
  <c r="J82" i="18"/>
  <c r="J83" i="18"/>
  <c r="J84" i="18"/>
  <c r="J85" i="18"/>
  <c r="J86" i="18"/>
  <c r="J87" i="18"/>
  <c r="J88" i="18"/>
  <c r="J89" i="18"/>
  <c r="J90" i="18"/>
  <c r="J91" i="18"/>
  <c r="J92" i="18"/>
  <c r="J93" i="18"/>
  <c r="J94" i="18"/>
  <c r="J95" i="18"/>
  <c r="J96" i="18"/>
  <c r="J97" i="18"/>
  <c r="J98" i="18"/>
  <c r="J99" i="18"/>
  <c r="J100" i="18"/>
  <c r="J101" i="18"/>
  <c r="J102" i="18"/>
  <c r="J103" i="18"/>
  <c r="J104" i="18"/>
  <c r="J105" i="18"/>
  <c r="J106" i="18"/>
  <c r="J107" i="18"/>
  <c r="J108" i="18"/>
  <c r="J109" i="18"/>
  <c r="J110" i="18"/>
  <c r="J111" i="18"/>
  <c r="J112" i="18"/>
  <c r="J113" i="18"/>
  <c r="J114" i="18"/>
  <c r="J115" i="18"/>
  <c r="J116" i="18"/>
  <c r="J117" i="18"/>
  <c r="J118" i="18"/>
  <c r="J119" i="18"/>
  <c r="J120" i="18"/>
  <c r="J121" i="18"/>
  <c r="J122" i="18"/>
  <c r="J123" i="18"/>
  <c r="J124" i="18"/>
  <c r="J125" i="18"/>
  <c r="J126" i="18"/>
  <c r="J127" i="18"/>
  <c r="J128" i="18"/>
  <c r="J129" i="18"/>
  <c r="J130" i="18"/>
  <c r="J131" i="18"/>
  <c r="J132" i="18"/>
  <c r="J133" i="18"/>
  <c r="J134" i="18"/>
  <c r="J135" i="18"/>
  <c r="J136" i="18"/>
  <c r="J137" i="18"/>
  <c r="J138" i="18"/>
  <c r="J139" i="18"/>
  <c r="J140" i="18"/>
  <c r="J141" i="18"/>
  <c r="J142" i="18"/>
  <c r="J143" i="18"/>
  <c r="J144" i="18"/>
  <c r="J145" i="18"/>
  <c r="J146" i="18"/>
  <c r="J147" i="18"/>
  <c r="J148" i="18"/>
  <c r="J149" i="18"/>
  <c r="J150" i="18"/>
  <c r="J151" i="18"/>
  <c r="J152" i="18"/>
  <c r="J153" i="18"/>
  <c r="J154" i="18"/>
  <c r="J155" i="18"/>
  <c r="J156" i="18"/>
  <c r="J157" i="18"/>
  <c r="J158" i="18"/>
  <c r="J159" i="18"/>
  <c r="J160" i="18"/>
  <c r="J161" i="18"/>
  <c r="J162" i="18"/>
  <c r="J163" i="18"/>
  <c r="J164" i="18"/>
  <c r="J165" i="18"/>
  <c r="J166" i="18"/>
  <c r="J167" i="18"/>
  <c r="J168" i="18"/>
  <c r="J169" i="18"/>
  <c r="J170" i="18"/>
  <c r="J171" i="18"/>
  <c r="J172" i="18"/>
  <c r="J173" i="18"/>
  <c r="J174" i="18"/>
  <c r="J175" i="18"/>
  <c r="J176" i="18"/>
  <c r="J177" i="18"/>
  <c r="J178" i="18"/>
  <c r="J179" i="18"/>
  <c r="J180" i="18"/>
  <c r="J181" i="18"/>
  <c r="J182" i="18"/>
  <c r="J183" i="18"/>
  <c r="J184" i="18"/>
  <c r="J185" i="18"/>
  <c r="J186" i="18"/>
  <c r="J187" i="18"/>
  <c r="J188" i="18"/>
  <c r="J189" i="18"/>
  <c r="J190" i="18"/>
  <c r="J191" i="18"/>
  <c r="J192" i="18"/>
  <c r="J193" i="18"/>
  <c r="J194" i="18"/>
  <c r="J195" i="18"/>
  <c r="J196" i="18"/>
  <c r="J197" i="18"/>
  <c r="J198" i="18"/>
  <c r="J199" i="18"/>
  <c r="J200" i="18"/>
  <c r="J201" i="18"/>
  <c r="J202" i="18"/>
  <c r="J203" i="18"/>
  <c r="J204" i="18"/>
  <c r="J205" i="18"/>
  <c r="J206" i="18"/>
  <c r="J207" i="18"/>
  <c r="J208" i="18"/>
  <c r="J209" i="18"/>
  <c r="J210" i="18"/>
  <c r="J211" i="18"/>
  <c r="J212" i="18"/>
  <c r="J213" i="18"/>
  <c r="J214" i="18"/>
  <c r="J215" i="18"/>
  <c r="J216" i="18"/>
  <c r="J217" i="18"/>
  <c r="J218" i="18"/>
  <c r="J219" i="18"/>
  <c r="J220" i="18"/>
  <c r="J221" i="18"/>
  <c r="J222" i="18"/>
  <c r="J223" i="18"/>
  <c r="J224" i="18"/>
  <c r="J225" i="18"/>
  <c r="J226" i="18"/>
  <c r="J227" i="18"/>
  <c r="J228" i="18"/>
  <c r="J229" i="18"/>
  <c r="J230" i="18"/>
  <c r="J231" i="18"/>
  <c r="J232" i="18"/>
  <c r="J233" i="18"/>
  <c r="J234" i="18"/>
  <c r="J235" i="18"/>
  <c r="J236" i="18"/>
  <c r="J237" i="18"/>
  <c r="J238" i="18"/>
  <c r="J239" i="18"/>
  <c r="J240" i="18"/>
  <c r="J241" i="18"/>
  <c r="J242" i="18"/>
  <c r="J243" i="18"/>
  <c r="J244" i="18"/>
  <c r="J245" i="18"/>
  <c r="J246" i="18"/>
  <c r="J247" i="18"/>
  <c r="J248" i="18"/>
  <c r="J249" i="18"/>
  <c r="J250" i="18"/>
  <c r="J251" i="18"/>
  <c r="J2" i="18"/>
  <c r="I9" i="18"/>
  <c r="I11" i="18"/>
  <c r="I20" i="18"/>
  <c r="I35" i="18"/>
  <c r="I46" i="18"/>
  <c r="I59" i="18"/>
  <c r="I119" i="18"/>
  <c r="I143" i="18"/>
  <c r="I155" i="18"/>
  <c r="I167" i="18"/>
  <c r="I179" i="18"/>
  <c r="I208" i="18"/>
  <c r="I215" i="18"/>
  <c r="H9" i="18"/>
  <c r="H10" i="18"/>
  <c r="H11" i="18"/>
  <c r="H35" i="18"/>
  <c r="H47" i="18"/>
  <c r="H59" i="18"/>
  <c r="H76" i="18"/>
  <c r="H119" i="18"/>
  <c r="H121" i="18"/>
  <c r="H168" i="18"/>
  <c r="H189" i="18"/>
  <c r="H201" i="18"/>
  <c r="G11" i="18"/>
  <c r="G23" i="18"/>
  <c r="G26" i="18"/>
  <c r="G34" i="18"/>
  <c r="G47" i="18"/>
  <c r="G61" i="18"/>
  <c r="G120" i="18"/>
  <c r="G132" i="18"/>
  <c r="G140" i="18"/>
  <c r="G155" i="18"/>
  <c r="G168" i="18"/>
  <c r="G191" i="18"/>
  <c r="G227" i="18"/>
  <c r="G239" i="18"/>
  <c r="F13" i="18"/>
  <c r="F22" i="18"/>
  <c r="F27" i="18"/>
  <c r="F82" i="18"/>
  <c r="F94" i="18"/>
  <c r="F99" i="18"/>
  <c r="F121" i="18"/>
  <c r="F122" i="18"/>
  <c r="F192" i="18"/>
  <c r="F194" i="18"/>
  <c r="F206" i="18"/>
  <c r="F233" i="18"/>
  <c r="F238" i="18"/>
  <c r="F239" i="18"/>
  <c r="C11" i="18"/>
  <c r="C12" i="18"/>
  <c r="C23" i="18"/>
  <c r="C26" i="18"/>
  <c r="E26" i="18" s="1"/>
  <c r="C35" i="18"/>
  <c r="C47" i="18"/>
  <c r="C48" i="18"/>
  <c r="C53" i="18"/>
  <c r="C59" i="18"/>
  <c r="C60" i="18"/>
  <c r="C62" i="18"/>
  <c r="C89" i="18"/>
  <c r="C93" i="18"/>
  <c r="C95" i="18"/>
  <c r="C96" i="18"/>
  <c r="C107" i="18"/>
  <c r="E107" i="18" s="1"/>
  <c r="C119" i="18"/>
  <c r="C125" i="18"/>
  <c r="C129" i="18"/>
  <c r="C131" i="18"/>
  <c r="C132" i="18"/>
  <c r="C135" i="18"/>
  <c r="C144" i="18"/>
  <c r="C165" i="18"/>
  <c r="C167" i="18"/>
  <c r="C168" i="18"/>
  <c r="C169" i="18"/>
  <c r="C173" i="18"/>
  <c r="C177" i="18"/>
  <c r="C179" i="18"/>
  <c r="E179" i="18" s="1"/>
  <c r="C191" i="18"/>
  <c r="C201" i="18"/>
  <c r="C203" i="18"/>
  <c r="E203" i="18" s="1"/>
  <c r="C204" i="18"/>
  <c r="C216" i="18"/>
  <c r="C218" i="18"/>
  <c r="C227" i="18"/>
  <c r="C239" i="18"/>
  <c r="C240" i="18"/>
  <c r="C245" i="18"/>
  <c r="C249" i="18"/>
  <c r="C251" i="18"/>
  <c r="C2" i="18"/>
  <c r="B4" i="18"/>
  <c r="B9" i="18"/>
  <c r="B11" i="18"/>
  <c r="B23" i="18"/>
  <c r="B25" i="18"/>
  <c r="B26" i="18"/>
  <c r="B33" i="18"/>
  <c r="B34" i="18"/>
  <c r="B35" i="18"/>
  <c r="E35" i="18" s="1"/>
  <c r="B47" i="18"/>
  <c r="E47" i="18" s="1"/>
  <c r="B53" i="18"/>
  <c r="B57" i="18"/>
  <c r="B59" i="18"/>
  <c r="E59" i="18" s="1"/>
  <c r="B61" i="18"/>
  <c r="B77" i="18"/>
  <c r="B81" i="18"/>
  <c r="B83" i="18"/>
  <c r="B85" i="18"/>
  <c r="B107" i="18"/>
  <c r="B117" i="18"/>
  <c r="B119" i="18"/>
  <c r="B124" i="18"/>
  <c r="B125" i="18"/>
  <c r="B153" i="18"/>
  <c r="B155" i="18"/>
  <c r="B158" i="18"/>
  <c r="B160" i="18"/>
  <c r="B167" i="18"/>
  <c r="B179" i="18"/>
  <c r="B185" i="18"/>
  <c r="B191" i="18"/>
  <c r="B196" i="18"/>
  <c r="B197" i="18"/>
  <c r="B203" i="18"/>
  <c r="B213" i="18"/>
  <c r="B215" i="18"/>
  <c r="B218" i="18"/>
  <c r="B225" i="18"/>
  <c r="B226" i="18"/>
  <c r="B227" i="18"/>
  <c r="B245" i="18"/>
  <c r="B251" i="18"/>
  <c r="A3" i="18"/>
  <c r="C3" i="18" s="1"/>
  <c r="A4" i="18"/>
  <c r="A5" i="18"/>
  <c r="A6" i="18"/>
  <c r="G6" i="18" s="1"/>
  <c r="A7" i="18"/>
  <c r="A8" i="18"/>
  <c r="A9" i="18"/>
  <c r="A10" i="18"/>
  <c r="B10" i="18" s="1"/>
  <c r="A11" i="18"/>
  <c r="F11" i="18" s="1"/>
  <c r="A12" i="18"/>
  <c r="A13" i="18"/>
  <c r="B13" i="18" s="1"/>
  <c r="A14" i="18"/>
  <c r="H14" i="18" s="1"/>
  <c r="A15" i="18"/>
  <c r="A16" i="18"/>
  <c r="B16" i="18" s="1"/>
  <c r="A17" i="18"/>
  <c r="A18" i="18"/>
  <c r="G18" i="18" s="1"/>
  <c r="A19" i="18"/>
  <c r="A20" i="18"/>
  <c r="A21" i="18"/>
  <c r="A22" i="18"/>
  <c r="B22" i="18" s="1"/>
  <c r="A23" i="18"/>
  <c r="A24" i="18"/>
  <c r="A25" i="18"/>
  <c r="A26" i="18"/>
  <c r="A27" i="18"/>
  <c r="A28" i="18"/>
  <c r="H28" i="18" s="1"/>
  <c r="A29" i="18"/>
  <c r="C29" i="18" s="1"/>
  <c r="A30" i="18"/>
  <c r="I30" i="18" s="1"/>
  <c r="A31" i="18"/>
  <c r="A32" i="18"/>
  <c r="F32" i="18" s="1"/>
  <c r="A33" i="18"/>
  <c r="C33" i="18" s="1"/>
  <c r="A34" i="18"/>
  <c r="A35" i="18"/>
  <c r="A36" i="18"/>
  <c r="F36" i="18" s="1"/>
  <c r="A37" i="18"/>
  <c r="F37" i="18" s="1"/>
  <c r="A38" i="18"/>
  <c r="B38" i="18" s="1"/>
  <c r="A39" i="18"/>
  <c r="B39" i="18" s="1"/>
  <c r="A40" i="18"/>
  <c r="B40" i="18" s="1"/>
  <c r="A41" i="18"/>
  <c r="B41" i="18" s="1"/>
  <c r="A42" i="18"/>
  <c r="A43" i="18"/>
  <c r="I43" i="18" s="1"/>
  <c r="A44" i="18"/>
  <c r="H44" i="18" s="1"/>
  <c r="A45" i="18"/>
  <c r="B45" i="18" s="1"/>
  <c r="A46" i="18"/>
  <c r="B46" i="18" s="1"/>
  <c r="A47" i="18"/>
  <c r="A48" i="18"/>
  <c r="A49" i="18"/>
  <c r="B49" i="18" s="1"/>
  <c r="A50" i="18"/>
  <c r="C50" i="18" s="1"/>
  <c r="A51" i="18"/>
  <c r="A52" i="18"/>
  <c r="B52" i="18" s="1"/>
  <c r="A53" i="18"/>
  <c r="A54" i="18"/>
  <c r="C54" i="18" s="1"/>
  <c r="A55" i="18"/>
  <c r="A56" i="18"/>
  <c r="A57" i="18"/>
  <c r="A58" i="18"/>
  <c r="F58" i="18" s="1"/>
  <c r="A59" i="18"/>
  <c r="A60" i="18"/>
  <c r="A61" i="18"/>
  <c r="A62" i="18"/>
  <c r="B62" i="18" s="1"/>
  <c r="E62" i="18" s="1"/>
  <c r="A63" i="18"/>
  <c r="B63" i="18" s="1"/>
  <c r="A64" i="18"/>
  <c r="I64" i="18" s="1"/>
  <c r="A65" i="18"/>
  <c r="A66" i="18"/>
  <c r="A67" i="18"/>
  <c r="A68" i="18"/>
  <c r="G68" i="18" s="1"/>
  <c r="A69" i="18"/>
  <c r="A70" i="18"/>
  <c r="H70" i="18" s="1"/>
  <c r="A71" i="18"/>
  <c r="B71" i="18" s="1"/>
  <c r="A72" i="18"/>
  <c r="G72" i="18" s="1"/>
  <c r="A73" i="18"/>
  <c r="C73" i="18" s="1"/>
  <c r="A74" i="18"/>
  <c r="F74" i="18" s="1"/>
  <c r="A75" i="18"/>
  <c r="F75" i="18" s="1"/>
  <c r="A76" i="18"/>
  <c r="I76" i="18" s="1"/>
  <c r="A77" i="18"/>
  <c r="C77" i="18" s="1"/>
  <c r="A78" i="18"/>
  <c r="A79" i="18"/>
  <c r="A80" i="18"/>
  <c r="A81" i="18"/>
  <c r="A82" i="18"/>
  <c r="H82" i="18" s="1"/>
  <c r="A83" i="18"/>
  <c r="I83" i="18" s="1"/>
  <c r="A84" i="18"/>
  <c r="A85" i="18"/>
  <c r="H85" i="18" s="1"/>
  <c r="A86" i="18"/>
  <c r="C86" i="18" s="1"/>
  <c r="A87" i="18"/>
  <c r="B87" i="18" s="1"/>
  <c r="A88" i="18"/>
  <c r="A89" i="18"/>
  <c r="A90" i="18"/>
  <c r="A91" i="18"/>
  <c r="A92" i="18"/>
  <c r="A93" i="18"/>
  <c r="A94" i="18"/>
  <c r="B94" i="18" s="1"/>
  <c r="A95" i="18"/>
  <c r="B95" i="18" s="1"/>
  <c r="A96" i="18"/>
  <c r="A97" i="18"/>
  <c r="B97" i="18" s="1"/>
  <c r="A98" i="18"/>
  <c r="B98" i="18" s="1"/>
  <c r="A99" i="18"/>
  <c r="B99" i="18" s="1"/>
  <c r="A100" i="18"/>
  <c r="H100" i="18" s="1"/>
  <c r="A101" i="18"/>
  <c r="B101" i="18" s="1"/>
  <c r="A102" i="18"/>
  <c r="C102" i="18" s="1"/>
  <c r="A103" i="18"/>
  <c r="A104" i="18"/>
  <c r="A105" i="18"/>
  <c r="A106" i="18"/>
  <c r="F106" i="18" s="1"/>
  <c r="A107" i="18"/>
  <c r="A108" i="18"/>
  <c r="C108" i="18" s="1"/>
  <c r="A109" i="18"/>
  <c r="A110" i="18"/>
  <c r="B110" i="18" s="1"/>
  <c r="A111" i="18"/>
  <c r="A112" i="18"/>
  <c r="H112" i="18" s="1"/>
  <c r="A113" i="18"/>
  <c r="F113" i="18" s="1"/>
  <c r="A114" i="18"/>
  <c r="A115" i="18"/>
  <c r="A116" i="18"/>
  <c r="A117" i="18"/>
  <c r="A118" i="18"/>
  <c r="A119" i="18"/>
  <c r="A120" i="18"/>
  <c r="C120" i="18" s="1"/>
  <c r="A121" i="18"/>
  <c r="A122" i="18"/>
  <c r="C122" i="18" s="1"/>
  <c r="A123" i="18"/>
  <c r="C123" i="18" s="1"/>
  <c r="A124" i="18"/>
  <c r="I124" i="18" s="1"/>
  <c r="A125" i="18"/>
  <c r="A126" i="18"/>
  <c r="A127" i="18"/>
  <c r="B127" i="18" s="1"/>
  <c r="A128" i="18"/>
  <c r="A129" i="18"/>
  <c r="A130" i="18"/>
  <c r="A131" i="18"/>
  <c r="B131" i="18" s="1"/>
  <c r="A132" i="18"/>
  <c r="A133" i="18"/>
  <c r="F133" i="18" s="1"/>
  <c r="A134" i="18"/>
  <c r="B134" i="18" s="1"/>
  <c r="A135" i="18"/>
  <c r="A136" i="18"/>
  <c r="A137" i="18"/>
  <c r="A138" i="18"/>
  <c r="A139" i="18"/>
  <c r="A140" i="18"/>
  <c r="A141" i="18"/>
  <c r="A142" i="18"/>
  <c r="A143" i="18"/>
  <c r="B143" i="18" s="1"/>
  <c r="A144" i="18"/>
  <c r="A145" i="18"/>
  <c r="A146" i="18"/>
  <c r="C146" i="18" s="1"/>
  <c r="A147" i="18"/>
  <c r="B147" i="18" s="1"/>
  <c r="A148" i="18"/>
  <c r="B148" i="18" s="1"/>
  <c r="A149" i="18"/>
  <c r="C149" i="18" s="1"/>
  <c r="A150" i="18"/>
  <c r="A151" i="18"/>
  <c r="A152" i="18"/>
  <c r="C152" i="18" s="1"/>
  <c r="A153" i="18"/>
  <c r="A154" i="18"/>
  <c r="A155" i="18"/>
  <c r="C155" i="18" s="1"/>
  <c r="A156" i="18"/>
  <c r="F156" i="18" s="1"/>
  <c r="A157" i="18"/>
  <c r="H157" i="18" s="1"/>
  <c r="A158" i="18"/>
  <c r="C158" i="18" s="1"/>
  <c r="A159" i="18"/>
  <c r="C159" i="18" s="1"/>
  <c r="A160" i="18"/>
  <c r="H160" i="18" s="1"/>
  <c r="A161" i="18"/>
  <c r="A162" i="18"/>
  <c r="A163" i="18"/>
  <c r="A164" i="18"/>
  <c r="A165" i="18"/>
  <c r="A166" i="18"/>
  <c r="A167" i="18"/>
  <c r="A168" i="18"/>
  <c r="A169" i="18"/>
  <c r="G169" i="18" s="1"/>
  <c r="A170" i="18"/>
  <c r="B170" i="18" s="1"/>
  <c r="A171" i="18"/>
  <c r="A172" i="18"/>
  <c r="B172" i="18" s="1"/>
  <c r="A173" i="18"/>
  <c r="A174" i="18"/>
  <c r="H174" i="18" s="1"/>
  <c r="A175" i="18"/>
  <c r="I175" i="18" s="1"/>
  <c r="A176" i="18"/>
  <c r="B176" i="18" s="1"/>
  <c r="A177" i="18"/>
  <c r="B177" i="18" s="1"/>
  <c r="A178" i="18"/>
  <c r="F178" i="18" s="1"/>
  <c r="A179" i="18"/>
  <c r="A180" i="18"/>
  <c r="C180" i="18" s="1"/>
  <c r="A181" i="18"/>
  <c r="A182" i="18"/>
  <c r="B182" i="18" s="1"/>
  <c r="A183" i="18"/>
  <c r="B183" i="18" s="1"/>
  <c r="A184" i="18"/>
  <c r="A185" i="18"/>
  <c r="A186" i="18"/>
  <c r="A187" i="18"/>
  <c r="F187" i="18" s="1"/>
  <c r="A188" i="18"/>
  <c r="A189" i="18"/>
  <c r="C189" i="18" s="1"/>
  <c r="A190" i="18"/>
  <c r="A191" i="18"/>
  <c r="A192" i="18"/>
  <c r="G192" i="18" s="1"/>
  <c r="A193" i="18"/>
  <c r="C193" i="18" s="1"/>
  <c r="A194" i="18"/>
  <c r="C194" i="18" s="1"/>
  <c r="A195" i="18"/>
  <c r="A196" i="18"/>
  <c r="I196" i="18" s="1"/>
  <c r="A197" i="18"/>
  <c r="C197" i="18" s="1"/>
  <c r="A198" i="18"/>
  <c r="A199" i="18"/>
  <c r="B199" i="18" s="1"/>
  <c r="A200" i="18"/>
  <c r="B200" i="18" s="1"/>
  <c r="A201" i="18"/>
  <c r="A202" i="18"/>
  <c r="A203" i="18"/>
  <c r="A204" i="18"/>
  <c r="H204" i="18" s="1"/>
  <c r="A205" i="18"/>
  <c r="B205" i="18" s="1"/>
  <c r="A206" i="18"/>
  <c r="A207" i="18"/>
  <c r="G207" i="18" s="1"/>
  <c r="A208" i="18"/>
  <c r="A209" i="18"/>
  <c r="C209" i="18" s="1"/>
  <c r="A210" i="18"/>
  <c r="A211" i="18"/>
  <c r="A212" i="18"/>
  <c r="A213" i="18"/>
  <c r="A214" i="18"/>
  <c r="A215" i="18"/>
  <c r="A216" i="18"/>
  <c r="A217" i="18"/>
  <c r="A218" i="18"/>
  <c r="A219" i="18"/>
  <c r="A220" i="18"/>
  <c r="B220" i="18" s="1"/>
  <c r="A221" i="18"/>
  <c r="C221" i="18" s="1"/>
  <c r="A222" i="18"/>
  <c r="C222" i="18" s="1"/>
  <c r="A223" i="18"/>
  <c r="A224" i="18"/>
  <c r="G224" i="18" s="1"/>
  <c r="A225" i="18"/>
  <c r="C225" i="18" s="1"/>
  <c r="A226" i="18"/>
  <c r="A227" i="18"/>
  <c r="H227" i="18" s="1"/>
  <c r="A228" i="18"/>
  <c r="A229" i="18"/>
  <c r="G229" i="18" s="1"/>
  <c r="A230" i="18"/>
  <c r="A231" i="18"/>
  <c r="G231" i="18" s="1"/>
  <c r="A232" i="18"/>
  <c r="A233" i="18"/>
  <c r="B233" i="18" s="1"/>
  <c r="A234" i="18"/>
  <c r="A235" i="18"/>
  <c r="A236" i="18"/>
  <c r="A237" i="18"/>
  <c r="C237" i="18" s="1"/>
  <c r="A238" i="18"/>
  <c r="A239" i="18"/>
  <c r="B239" i="18" s="1"/>
  <c r="D239" i="18" s="1"/>
  <c r="A240" i="18"/>
  <c r="A241" i="18"/>
  <c r="F241" i="18" s="1"/>
  <c r="A242" i="18"/>
  <c r="I242" i="18" s="1"/>
  <c r="A243" i="18"/>
  <c r="B243" i="18" s="1"/>
  <c r="A244" i="18"/>
  <c r="I244" i="18" s="1"/>
  <c r="A245" i="18"/>
  <c r="F245" i="18" s="1"/>
  <c r="A246" i="18"/>
  <c r="C246" i="18" s="1"/>
  <c r="A247" i="18"/>
  <c r="A248" i="18"/>
  <c r="H248" i="18" s="1"/>
  <c r="A249" i="18"/>
  <c r="A250" i="18"/>
  <c r="F250" i="18" s="1"/>
  <c r="A251" i="18"/>
  <c r="I251" i="18" s="1"/>
  <c r="A2" i="18"/>
  <c r="G2" i="18" s="1"/>
  <c r="B2" i="16" a="1"/>
  <c r="B2" i="16" s="1"/>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A177" i="16"/>
  <c r="A178" i="16"/>
  <c r="A179" i="16"/>
  <c r="A180" i="16"/>
  <c r="A181" i="16"/>
  <c r="A182" i="16"/>
  <c r="A183" i="16"/>
  <c r="A184" i="16"/>
  <c r="A185" i="16"/>
  <c r="A186" i="16"/>
  <c r="A187" i="16"/>
  <c r="A188" i="16"/>
  <c r="A189" i="16"/>
  <c r="A190" i="16"/>
  <c r="A191" i="16"/>
  <c r="A192" i="16"/>
  <c r="A193" i="16"/>
  <c r="A194" i="16"/>
  <c r="A195" i="16"/>
  <c r="A196" i="16"/>
  <c r="A197" i="16"/>
  <c r="A198" i="16"/>
  <c r="A199" i="16"/>
  <c r="A200" i="16"/>
  <c r="A201" i="16"/>
  <c r="A202" i="16"/>
  <c r="A203" i="16"/>
  <c r="A204" i="16"/>
  <c r="A205" i="16"/>
  <c r="A206" i="16"/>
  <c r="A207" i="16"/>
  <c r="A208" i="16"/>
  <c r="A209" i="16"/>
  <c r="A210" i="16"/>
  <c r="A211" i="16"/>
  <c r="A212" i="16"/>
  <c r="A213" i="16"/>
  <c r="A214" i="16"/>
  <c r="A215" i="16"/>
  <c r="A216" i="16"/>
  <c r="A217" i="16"/>
  <c r="A218" i="16"/>
  <c r="A219" i="16"/>
  <c r="A220" i="16"/>
  <c r="A221" i="16"/>
  <c r="A222" i="16"/>
  <c r="A223" i="16"/>
  <c r="A224" i="16"/>
  <c r="A225" i="16"/>
  <c r="A226" i="16"/>
  <c r="A227" i="16"/>
  <c r="A228" i="16"/>
  <c r="A229" i="16"/>
  <c r="A230" i="16"/>
  <c r="A231" i="16"/>
  <c r="A232" i="16"/>
  <c r="A233" i="16"/>
  <c r="A234" i="16"/>
  <c r="A235" i="16"/>
  <c r="A236" i="16"/>
  <c r="A237" i="16"/>
  <c r="A238" i="16"/>
  <c r="A239" i="16"/>
  <c r="A240" i="16"/>
  <c r="A241" i="16"/>
  <c r="A242" i="16"/>
  <c r="A243" i="16"/>
  <c r="A244" i="16"/>
  <c r="A245" i="16"/>
  <c r="A246" i="16"/>
  <c r="A247" i="16"/>
  <c r="A248" i="16"/>
  <c r="A249" i="16"/>
  <c r="A250" i="16"/>
  <c r="A251" i="16"/>
  <c r="A2" i="16"/>
  <c r="A15" i="15" a="1"/>
  <c r="A15" i="15" s="1"/>
  <c r="A16" i="15" s="1" a="1"/>
  <c r="A16" i="15" s="1"/>
  <c r="B16" i="15" s="1"/>
  <c r="D3" i="15"/>
  <c r="D4" i="15"/>
  <c r="D5" i="15"/>
  <c r="D6" i="15"/>
  <c r="D7" i="15"/>
  <c r="D8" i="15"/>
  <c r="D9" i="15"/>
  <c r="D10" i="15"/>
  <c r="D11" i="15"/>
  <c r="D2" i="15"/>
  <c r="C3" i="15"/>
  <c r="C4" i="15"/>
  <c r="C5" i="15"/>
  <c r="C6" i="15"/>
  <c r="C7" i="15"/>
  <c r="C8" i="15"/>
  <c r="C9" i="15"/>
  <c r="C10" i="15"/>
  <c r="C11" i="15"/>
  <c r="C2" i="15"/>
  <c r="B3" i="15"/>
  <c r="B4" i="15"/>
  <c r="B5" i="15"/>
  <c r="B6" i="15"/>
  <c r="B7" i="15"/>
  <c r="B8" i="15"/>
  <c r="B9" i="15"/>
  <c r="B10" i="15"/>
  <c r="B11" i="15"/>
  <c r="B2" i="15"/>
  <c r="A2" i="13" a="1"/>
  <c r="A2" i="13" s="1"/>
  <c r="F2" i="13" s="1"/>
  <c r="E24" i="12"/>
  <c r="E23" i="12"/>
  <c r="E22" i="12"/>
  <c r="E21" i="12"/>
  <c r="E20" i="12"/>
  <c r="E19" i="12"/>
  <c r="E18" i="12"/>
  <c r="E17" i="12"/>
  <c r="E16" i="12"/>
  <c r="E15" i="12"/>
  <c r="B18" i="12"/>
  <c r="B17" i="12"/>
  <c r="B16" i="12"/>
  <c r="B15" i="12"/>
  <c r="K5" i="12"/>
  <c r="K4" i="12"/>
  <c r="K3" i="12"/>
  <c r="K6" i="12" s="1"/>
  <c r="E7" i="12"/>
  <c r="E6" i="12"/>
  <c r="E5" i="12"/>
  <c r="E4" i="12"/>
  <c r="E8" i="12" s="1"/>
  <c r="E3" i="12"/>
  <c r="H5" i="12"/>
  <c r="H4" i="12"/>
  <c r="H3" i="12"/>
  <c r="B8" i="12"/>
  <c r="B7" i="12"/>
  <c r="B6" i="12"/>
  <c r="B5" i="12"/>
  <c r="B4" i="12"/>
  <c r="H20" i="12" s="1"/>
  <c r="B3" i="12"/>
  <c r="B4" i="7"/>
  <c r="B7" i="7" s="1"/>
  <c r="G3" i="6"/>
  <c r="G4" i="6"/>
  <c r="G5" i="6"/>
  <c r="G6" i="6"/>
  <c r="G7" i="6"/>
  <c r="G8" i="6"/>
  <c r="G9" i="6"/>
  <c r="G10" i="6"/>
  <c r="G11" i="6"/>
  <c r="G2" i="6"/>
  <c r="F3" i="6"/>
  <c r="F4" i="6"/>
  <c r="F5" i="6"/>
  <c r="F6" i="6"/>
  <c r="F7" i="6"/>
  <c r="F8" i="6"/>
  <c r="F9" i="6"/>
  <c r="F10" i="6"/>
  <c r="F11" i="6"/>
  <c r="F2" i="6"/>
  <c r="E3" i="6"/>
  <c r="E4" i="6"/>
  <c r="E5" i="6"/>
  <c r="E6" i="6"/>
  <c r="E7" i="6"/>
  <c r="E8" i="6"/>
  <c r="E9" i="6"/>
  <c r="E10" i="6"/>
  <c r="E11" i="6"/>
  <c r="E2" i="6"/>
  <c r="D3" i="6"/>
  <c r="D4" i="6"/>
  <c r="D5" i="6"/>
  <c r="D6" i="6"/>
  <c r="D7" i="6"/>
  <c r="D8" i="6"/>
  <c r="D9" i="6"/>
  <c r="D10" i="6"/>
  <c r="D11" i="6"/>
  <c r="D2" i="6"/>
  <c r="C3" i="6"/>
  <c r="C4" i="6"/>
  <c r="C5" i="6"/>
  <c r="C6" i="6"/>
  <c r="C7" i="6"/>
  <c r="C8" i="6"/>
  <c r="C9" i="6"/>
  <c r="C10" i="6"/>
  <c r="C11" i="6"/>
  <c r="C2" i="6"/>
  <c r="B3" i="6"/>
  <c r="B4" i="6"/>
  <c r="B5" i="6"/>
  <c r="B6" i="6"/>
  <c r="B7" i="6"/>
  <c r="B8" i="6"/>
  <c r="B9" i="6"/>
  <c r="B10" i="6"/>
  <c r="B11" i="6"/>
  <c r="B2" i="6"/>
  <c r="A3" i="6"/>
  <c r="A4" i="6"/>
  <c r="A5" i="6"/>
  <c r="A6" i="6"/>
  <c r="A7" i="6"/>
  <c r="A8" i="6"/>
  <c r="A9" i="6"/>
  <c r="A10" i="6"/>
  <c r="A11" i="6"/>
  <c r="A2" i="6"/>
  <c r="A3" i="4" a="1"/>
  <c r="A3" i="4" s="1"/>
  <c r="A137" i="4" a="1"/>
  <c r="A137" i="4" s="1"/>
  <c r="D11" i="3"/>
  <c r="C11" i="3"/>
  <c r="G35" i="3"/>
  <c r="F35" i="3"/>
  <c r="F37" i="3"/>
  <c r="F38" i="3"/>
  <c r="C35" i="3"/>
  <c r="D35" i="3" s="1"/>
  <c r="C36" i="3"/>
  <c r="E36" i="3" s="1"/>
  <c r="C37" i="3"/>
  <c r="E37" i="3" s="1"/>
  <c r="C38" i="3"/>
  <c r="B35" i="3"/>
  <c r="H35" i="3" s="1"/>
  <c r="B36" i="3"/>
  <c r="G36" i="3" s="1"/>
  <c r="B37" i="3"/>
  <c r="G37" i="3" s="1"/>
  <c r="B38" i="3"/>
  <c r="G38" i="3" s="1"/>
  <c r="A35" i="3"/>
  <c r="A36" i="3"/>
  <c r="A37" i="3"/>
  <c r="A38" i="3"/>
  <c r="B34" i="3"/>
  <c r="A34" i="3"/>
  <c r="B30" i="3"/>
  <c r="B29" i="3"/>
  <c r="B28" i="3"/>
  <c r="B27" i="3"/>
  <c r="B26" i="3"/>
  <c r="B25" i="3"/>
  <c r="B24" i="3"/>
  <c r="D12" i="3"/>
  <c r="D13" i="3"/>
  <c r="E13" i="3" s="1"/>
  <c r="H13" i="3" s="1"/>
  <c r="D14" i="3"/>
  <c r="D15" i="3"/>
  <c r="F15" i="3" s="1"/>
  <c r="D16" i="3"/>
  <c r="D17" i="3"/>
  <c r="E17" i="3" s="1"/>
  <c r="H17" i="3" s="1"/>
  <c r="D18" i="3"/>
  <c r="D19" i="3"/>
  <c r="D20" i="3"/>
  <c r="C12" i="3"/>
  <c r="C13" i="3"/>
  <c r="C14" i="3"/>
  <c r="C15" i="3"/>
  <c r="C16" i="3"/>
  <c r="C17" i="3"/>
  <c r="C18" i="3"/>
  <c r="C19" i="3"/>
  <c r="C20" i="3"/>
  <c r="A12" i="3"/>
  <c r="B12" i="3"/>
  <c r="A13" i="3"/>
  <c r="B13" i="3"/>
  <c r="A14" i="3"/>
  <c r="B14" i="3"/>
  <c r="A15" i="3"/>
  <c r="B15" i="3"/>
  <c r="A16" i="3"/>
  <c r="B16" i="3"/>
  <c r="A17" i="3"/>
  <c r="B17" i="3"/>
  <c r="A18" i="3"/>
  <c r="B18" i="3"/>
  <c r="A19" i="3"/>
  <c r="B19" i="3"/>
  <c r="A20" i="3"/>
  <c r="B20" i="3"/>
  <c r="B11" i="3"/>
  <c r="A11" i="3"/>
  <c r="B7" i="3"/>
  <c r="B6" i="3"/>
  <c r="B5" i="3"/>
  <c r="B4" i="3"/>
  <c r="B3" i="3"/>
  <c r="B2" i="3"/>
  <c r="AJ12" i="20"/>
  <c r="D110" i="18" l="1"/>
  <c r="B193" i="18"/>
  <c r="D193" i="18" s="1"/>
  <c r="B159" i="18"/>
  <c r="B82" i="18"/>
  <c r="B58" i="18"/>
  <c r="B28" i="18"/>
  <c r="C175" i="18"/>
  <c r="C134" i="18"/>
  <c r="C101" i="18"/>
  <c r="D101" i="18" s="1"/>
  <c r="C14" i="18"/>
  <c r="F220" i="18"/>
  <c r="F14" i="18"/>
  <c r="G158" i="18"/>
  <c r="G46" i="18"/>
  <c r="B74" i="18"/>
  <c r="H38" i="3"/>
  <c r="C16" i="15"/>
  <c r="B244" i="18"/>
  <c r="D244" i="18" s="1"/>
  <c r="B207" i="18"/>
  <c r="B73" i="18"/>
  <c r="B14" i="18"/>
  <c r="D14" i="18" s="1"/>
  <c r="F183" i="18"/>
  <c r="F72" i="18"/>
  <c r="G108" i="18"/>
  <c r="H37" i="3"/>
  <c r="H6" i="12"/>
  <c r="H18" i="12"/>
  <c r="B242" i="18"/>
  <c r="C192" i="18"/>
  <c r="C83" i="18"/>
  <c r="D83" i="18" s="1"/>
  <c r="C36" i="18"/>
  <c r="G85" i="18"/>
  <c r="H251" i="18"/>
  <c r="H95" i="18"/>
  <c r="I95" i="18"/>
  <c r="H21" i="19" a="1"/>
  <c r="H21" i="19" s="1"/>
  <c r="B112" i="18"/>
  <c r="H3" i="15"/>
  <c r="E18" i="19" s="1"/>
  <c r="D73" i="18"/>
  <c r="H36" i="3"/>
  <c r="H15" i="12"/>
  <c r="B241" i="18"/>
  <c r="D203" i="18"/>
  <c r="B70" i="18"/>
  <c r="F52" i="18"/>
  <c r="G82" i="18"/>
  <c r="H244" i="18"/>
  <c r="I94" i="18"/>
  <c r="C110" i="18"/>
  <c r="E110" i="18" s="1"/>
  <c r="C74" i="18"/>
  <c r="F149" i="18"/>
  <c r="G204" i="18"/>
  <c r="G73" i="18"/>
  <c r="H83" i="18"/>
  <c r="E12" i="19"/>
  <c r="D77" i="18"/>
  <c r="B76" i="18"/>
  <c r="B15" i="15"/>
  <c r="E5" i="15"/>
  <c r="C72" i="18"/>
  <c r="G70" i="18"/>
  <c r="D245" i="18"/>
  <c r="E245" i="18"/>
  <c r="H7" i="15"/>
  <c r="E22" i="19" s="1"/>
  <c r="E6" i="15"/>
  <c r="E101" i="18"/>
  <c r="E14" i="18"/>
  <c r="E16" i="3"/>
  <c r="H16" i="3" s="1"/>
  <c r="H8" i="15"/>
  <c r="E177" i="18"/>
  <c r="D177" i="18"/>
  <c r="D99" i="18"/>
  <c r="E3" i="15"/>
  <c r="B3" i="16" a="1"/>
  <c r="B3" i="16" s="1"/>
  <c r="D176" i="18"/>
  <c r="H19" i="12"/>
  <c r="E25" i="12"/>
  <c r="H4" i="15"/>
  <c r="E19" i="19" s="1"/>
  <c r="H20" i="18"/>
  <c r="G20" i="18"/>
  <c r="F20" i="18"/>
  <c r="C20" i="18"/>
  <c r="B20" i="18"/>
  <c r="G247" i="18"/>
  <c r="H247" i="18"/>
  <c r="I247" i="18"/>
  <c r="F247" i="18"/>
  <c r="B247" i="18"/>
  <c r="C247" i="18"/>
  <c r="G235" i="18"/>
  <c r="H235" i="18"/>
  <c r="F235" i="18"/>
  <c r="I235" i="18"/>
  <c r="B235" i="18"/>
  <c r="C235" i="18"/>
  <c r="G223" i="18"/>
  <c r="H223" i="18"/>
  <c r="I223" i="18"/>
  <c r="B223" i="18"/>
  <c r="F223" i="18"/>
  <c r="C223" i="18"/>
  <c r="G211" i="18"/>
  <c r="H211" i="18"/>
  <c r="I211" i="18"/>
  <c r="F211" i="18"/>
  <c r="B211" i="18"/>
  <c r="C211" i="18"/>
  <c r="G199" i="18"/>
  <c r="H199" i="18"/>
  <c r="F199" i="18"/>
  <c r="C199" i="18"/>
  <c r="D199" i="18" s="1"/>
  <c r="I199" i="18"/>
  <c r="G187" i="18"/>
  <c r="H187" i="18"/>
  <c r="I187" i="18"/>
  <c r="B187" i="18"/>
  <c r="C187" i="18"/>
  <c r="F175" i="18"/>
  <c r="G175" i="18"/>
  <c r="H175" i="18"/>
  <c r="B175" i="18"/>
  <c r="F163" i="18"/>
  <c r="G163" i="18"/>
  <c r="H163" i="18"/>
  <c r="I163" i="18"/>
  <c r="B163" i="18"/>
  <c r="C163" i="18"/>
  <c r="F151" i="18"/>
  <c r="G151" i="18"/>
  <c r="H151" i="18"/>
  <c r="I151" i="18"/>
  <c r="B151" i="18"/>
  <c r="F139" i="18"/>
  <c r="G139" i="18"/>
  <c r="H139" i="18"/>
  <c r="I139" i="18"/>
  <c r="B139" i="18"/>
  <c r="C139" i="18"/>
  <c r="F127" i="18"/>
  <c r="G127" i="18"/>
  <c r="H127" i="18"/>
  <c r="C127" i="18"/>
  <c r="I127" i="18"/>
  <c r="F115" i="18"/>
  <c r="G115" i="18"/>
  <c r="H115" i="18"/>
  <c r="I115" i="18"/>
  <c r="C115" i="18"/>
  <c r="B115" i="18"/>
  <c r="F103" i="18"/>
  <c r="G103" i="18"/>
  <c r="H103" i="18"/>
  <c r="B103" i="18"/>
  <c r="I103" i="18"/>
  <c r="F91" i="18"/>
  <c r="G91" i="18"/>
  <c r="H91" i="18"/>
  <c r="C91" i="18"/>
  <c r="B91" i="18"/>
  <c r="I91" i="18"/>
  <c r="F79" i="18"/>
  <c r="G79" i="18"/>
  <c r="H79" i="18"/>
  <c r="B79" i="18"/>
  <c r="I79" i="18"/>
  <c r="F67" i="18"/>
  <c r="G67" i="18"/>
  <c r="H67" i="18"/>
  <c r="I67" i="18"/>
  <c r="B67" i="18"/>
  <c r="C67" i="18"/>
  <c r="F55" i="18"/>
  <c r="G55" i="18"/>
  <c r="H55" i="18"/>
  <c r="C55" i="18"/>
  <c r="I55" i="18"/>
  <c r="B55" i="18"/>
  <c r="F43" i="18"/>
  <c r="G43" i="18"/>
  <c r="H43" i="18"/>
  <c r="C43" i="18"/>
  <c r="B43" i="18"/>
  <c r="F31" i="18"/>
  <c r="G31" i="18"/>
  <c r="H31" i="18"/>
  <c r="I31" i="18"/>
  <c r="B31" i="18"/>
  <c r="C31" i="18"/>
  <c r="F19" i="18"/>
  <c r="G19" i="18"/>
  <c r="H19" i="18"/>
  <c r="I19" i="18"/>
  <c r="C19" i="18"/>
  <c r="B19" i="18"/>
  <c r="F7" i="18"/>
  <c r="G7" i="18"/>
  <c r="H7" i="18"/>
  <c r="I7" i="18"/>
  <c r="C7" i="18"/>
  <c r="B7" i="18"/>
  <c r="E197" i="18"/>
  <c r="E125" i="18"/>
  <c r="D125" i="18"/>
  <c r="C151" i="18"/>
  <c r="C79" i="18"/>
  <c r="E213" i="18"/>
  <c r="H34" i="3"/>
  <c r="F34" i="3"/>
  <c r="I224" i="18"/>
  <c r="H224" i="18"/>
  <c r="F224" i="18"/>
  <c r="C224" i="18"/>
  <c r="B224" i="18"/>
  <c r="H128" i="18"/>
  <c r="I128" i="18"/>
  <c r="F128" i="18"/>
  <c r="C128" i="18"/>
  <c r="B128" i="18"/>
  <c r="G128" i="18"/>
  <c r="H56" i="18"/>
  <c r="F56" i="18"/>
  <c r="G56" i="18"/>
  <c r="C56" i="18"/>
  <c r="I56" i="18"/>
  <c r="B56" i="18"/>
  <c r="D127" i="18"/>
  <c r="E127" i="18"/>
  <c r="E9" i="15"/>
  <c r="H5" i="15"/>
  <c r="E20" i="19" s="1"/>
  <c r="E4" i="15"/>
  <c r="E160" i="18"/>
  <c r="H2" i="15"/>
  <c r="E17" i="19" s="1"/>
  <c r="H188" i="18"/>
  <c r="F188" i="18"/>
  <c r="B188" i="18"/>
  <c r="G188" i="18"/>
  <c r="C188" i="18"/>
  <c r="I188" i="18"/>
  <c r="H116" i="18"/>
  <c r="F116" i="18"/>
  <c r="I116" i="18"/>
  <c r="B116" i="18"/>
  <c r="C116" i="18"/>
  <c r="G116" i="18"/>
  <c r="I32" i="18"/>
  <c r="G32" i="18"/>
  <c r="H32" i="18"/>
  <c r="B32" i="18"/>
  <c r="C32" i="18"/>
  <c r="E10" i="15"/>
  <c r="E58" i="18"/>
  <c r="I248" i="18"/>
  <c r="G248" i="18"/>
  <c r="B248" i="18"/>
  <c r="C248" i="18"/>
  <c r="F248" i="18"/>
  <c r="H212" i="18"/>
  <c r="G212" i="18"/>
  <c r="C212" i="18"/>
  <c r="F212" i="18"/>
  <c r="I212" i="18"/>
  <c r="B212" i="18"/>
  <c r="H164" i="18"/>
  <c r="C164" i="18"/>
  <c r="G164" i="18"/>
  <c r="B164" i="18"/>
  <c r="I164" i="18"/>
  <c r="F164" i="18"/>
  <c r="H140" i="18"/>
  <c r="B140" i="18"/>
  <c r="F140" i="18"/>
  <c r="I140" i="18"/>
  <c r="C140" i="18"/>
  <c r="F104" i="18"/>
  <c r="I104" i="18"/>
  <c r="G104" i="18"/>
  <c r="H104" i="18"/>
  <c r="C104" i="18"/>
  <c r="B104" i="18"/>
  <c r="G80" i="18"/>
  <c r="H80" i="18"/>
  <c r="F80" i="18"/>
  <c r="B80" i="18"/>
  <c r="C80" i="18"/>
  <c r="I80" i="18"/>
  <c r="G44" i="18"/>
  <c r="F44" i="18"/>
  <c r="I44" i="18"/>
  <c r="C44" i="18"/>
  <c r="B44" i="18"/>
  <c r="G8" i="18"/>
  <c r="I8" i="18"/>
  <c r="H8" i="18"/>
  <c r="F8" i="18"/>
  <c r="C8" i="18"/>
  <c r="B8" i="18"/>
  <c r="G34" i="3"/>
  <c r="E11" i="15"/>
  <c r="H17" i="12"/>
  <c r="E159" i="18"/>
  <c r="D159" i="18"/>
  <c r="E220" i="18"/>
  <c r="C103" i="18"/>
  <c r="E2" i="15"/>
  <c r="H16" i="12"/>
  <c r="D131" i="18"/>
  <c r="E131" i="18"/>
  <c r="H236" i="18"/>
  <c r="G236" i="18"/>
  <c r="I236" i="18"/>
  <c r="F236" i="18"/>
  <c r="B236" i="18"/>
  <c r="C236" i="18"/>
  <c r="H200" i="18"/>
  <c r="G200" i="18"/>
  <c r="I200" i="18"/>
  <c r="F200" i="18"/>
  <c r="C200" i="18"/>
  <c r="E200" i="18" s="1"/>
  <c r="H176" i="18"/>
  <c r="I176" i="18"/>
  <c r="G176" i="18"/>
  <c r="F176" i="18"/>
  <c r="C176" i="18"/>
  <c r="E176" i="18" s="1"/>
  <c r="F152" i="18"/>
  <c r="I152" i="18"/>
  <c r="B152" i="18"/>
  <c r="H152" i="18"/>
  <c r="G152" i="18"/>
  <c r="H92" i="18"/>
  <c r="I92" i="18"/>
  <c r="F92" i="18"/>
  <c r="G92" i="18"/>
  <c r="C92" i="18"/>
  <c r="B92" i="18"/>
  <c r="F68" i="18"/>
  <c r="H68" i="18"/>
  <c r="I68" i="18"/>
  <c r="C68" i="18"/>
  <c r="B68" i="18"/>
  <c r="E8" i="15"/>
  <c r="D218" i="18"/>
  <c r="E218" i="18"/>
  <c r="E77" i="18"/>
  <c r="D26" i="18"/>
  <c r="E7" i="15"/>
  <c r="D153" i="18"/>
  <c r="E153" i="18"/>
  <c r="I250" i="18"/>
  <c r="H250" i="18"/>
  <c r="C250" i="18"/>
  <c r="G238" i="18"/>
  <c r="C238" i="18"/>
  <c r="I238" i="18"/>
  <c r="B238" i="18"/>
  <c r="G226" i="18"/>
  <c r="H226" i="18"/>
  <c r="F226" i="18"/>
  <c r="C226" i="18"/>
  <c r="D226" i="18" s="1"/>
  <c r="I214" i="18"/>
  <c r="F214" i="18"/>
  <c r="H214" i="18"/>
  <c r="C214" i="18"/>
  <c r="G214" i="18"/>
  <c r="G202" i="18"/>
  <c r="F202" i="18"/>
  <c r="C202" i="18"/>
  <c r="H202" i="18"/>
  <c r="H190" i="18"/>
  <c r="G190" i="18"/>
  <c r="C190" i="18"/>
  <c r="I190" i="18"/>
  <c r="I178" i="18"/>
  <c r="G178" i="18"/>
  <c r="C178" i="18"/>
  <c r="H178" i="18"/>
  <c r="B178" i="18"/>
  <c r="G166" i="18"/>
  <c r="I166" i="18"/>
  <c r="F166" i="18"/>
  <c r="C166" i="18"/>
  <c r="B166" i="18"/>
  <c r="H166" i="18"/>
  <c r="I154" i="18"/>
  <c r="G154" i="18"/>
  <c r="C154" i="18"/>
  <c r="F154" i="18"/>
  <c r="B154" i="18"/>
  <c r="I142" i="18"/>
  <c r="G142" i="18"/>
  <c r="F142" i="18"/>
  <c r="C142" i="18"/>
  <c r="H142" i="18"/>
  <c r="G130" i="18"/>
  <c r="I130" i="18"/>
  <c r="C130" i="18"/>
  <c r="F130" i="18"/>
  <c r="H118" i="18"/>
  <c r="G118" i="18"/>
  <c r="C118" i="18"/>
  <c r="I118" i="18"/>
  <c r="B118" i="18"/>
  <c r="F118" i="18"/>
  <c r="I106" i="18"/>
  <c r="C106" i="18"/>
  <c r="G106" i="18"/>
  <c r="E22" i="18"/>
  <c r="E225" i="18"/>
  <c r="E158" i="18"/>
  <c r="D158" i="18"/>
  <c r="B130" i="18"/>
  <c r="B106" i="18"/>
  <c r="E23" i="18"/>
  <c r="D23" i="18"/>
  <c r="C6" i="18"/>
  <c r="D225" i="18"/>
  <c r="E239" i="18"/>
  <c r="H106" i="18"/>
  <c r="I202" i="18"/>
  <c r="E12" i="3"/>
  <c r="H12" i="3" s="1"/>
  <c r="F36" i="3"/>
  <c r="F11" i="3"/>
  <c r="C15" i="15"/>
  <c r="G249" i="18"/>
  <c r="I249" i="18"/>
  <c r="F249" i="18"/>
  <c r="H249" i="18"/>
  <c r="B249" i="18"/>
  <c r="G237" i="18"/>
  <c r="H237" i="18"/>
  <c r="F237" i="18"/>
  <c r="I237" i="18"/>
  <c r="G225" i="18"/>
  <c r="I225" i="18"/>
  <c r="H225" i="18"/>
  <c r="G213" i="18"/>
  <c r="F213" i="18"/>
  <c r="C213" i="18"/>
  <c r="D213" i="18" s="1"/>
  <c r="I213" i="18"/>
  <c r="G201" i="18"/>
  <c r="I201" i="18"/>
  <c r="F201" i="18"/>
  <c r="B201" i="18"/>
  <c r="G189" i="18"/>
  <c r="I189" i="18"/>
  <c r="B189" i="18"/>
  <c r="F189" i="18"/>
  <c r="F177" i="18"/>
  <c r="G177" i="18"/>
  <c r="I177" i="18"/>
  <c r="F165" i="18"/>
  <c r="G165" i="18"/>
  <c r="H165" i="18"/>
  <c r="B165" i="18"/>
  <c r="I165" i="18"/>
  <c r="F153" i="18"/>
  <c r="G153" i="18"/>
  <c r="H153" i="18"/>
  <c r="I153" i="18"/>
  <c r="F141" i="18"/>
  <c r="G141" i="18"/>
  <c r="H141" i="18"/>
  <c r="I141" i="18"/>
  <c r="C141" i="18"/>
  <c r="F129" i="18"/>
  <c r="G129" i="18"/>
  <c r="I129" i="18"/>
  <c r="H129" i="18"/>
  <c r="F117" i="18"/>
  <c r="G117" i="18"/>
  <c r="H117" i="18"/>
  <c r="I117" i="18"/>
  <c r="F105" i="18"/>
  <c r="G105" i="18"/>
  <c r="I105" i="18"/>
  <c r="H105" i="18"/>
  <c r="B105" i="18"/>
  <c r="F93" i="18"/>
  <c r="G93" i="18"/>
  <c r="H93" i="18"/>
  <c r="I93" i="18"/>
  <c r="B93" i="18"/>
  <c r="F81" i="18"/>
  <c r="G81" i="18"/>
  <c r="I81" i="18"/>
  <c r="H81" i="18"/>
  <c r="F69" i="18"/>
  <c r="G69" i="18"/>
  <c r="I69" i="18"/>
  <c r="H69" i="18"/>
  <c r="C69" i="18"/>
  <c r="B69" i="18"/>
  <c r="F57" i="18"/>
  <c r="G57" i="18"/>
  <c r="I57" i="18"/>
  <c r="H57" i="18"/>
  <c r="F45" i="18"/>
  <c r="G45" i="18"/>
  <c r="I45" i="18"/>
  <c r="H45" i="18"/>
  <c r="C45" i="18"/>
  <c r="D45" i="18" s="1"/>
  <c r="F33" i="18"/>
  <c r="G33" i="18"/>
  <c r="I33" i="18"/>
  <c r="H33" i="18"/>
  <c r="F21" i="18"/>
  <c r="G21" i="18"/>
  <c r="I21" i="18"/>
  <c r="H21" i="18"/>
  <c r="B21" i="18"/>
  <c r="F9" i="18"/>
  <c r="G9" i="18"/>
  <c r="C9" i="18"/>
  <c r="E9" i="18" s="1"/>
  <c r="B202" i="18"/>
  <c r="D155" i="18"/>
  <c r="E155" i="18"/>
  <c r="B129" i="18"/>
  <c r="D61" i="18"/>
  <c r="C153" i="18"/>
  <c r="C105" i="18"/>
  <c r="C81" i="18"/>
  <c r="E81" i="18" s="1"/>
  <c r="C57" i="18"/>
  <c r="C30" i="18"/>
  <c r="F190" i="18"/>
  <c r="H177" i="18"/>
  <c r="I246" i="18"/>
  <c r="F246" i="18"/>
  <c r="G246" i="18"/>
  <c r="H246" i="18"/>
  <c r="F198" i="18"/>
  <c r="I198" i="18"/>
  <c r="B198" i="18"/>
  <c r="G198" i="18"/>
  <c r="H198" i="18"/>
  <c r="C198" i="18"/>
  <c r="F162" i="18"/>
  <c r="I162" i="18"/>
  <c r="H162" i="18"/>
  <c r="B162" i="18"/>
  <c r="C162" i="18"/>
  <c r="G162" i="18"/>
  <c r="F150" i="18"/>
  <c r="G150" i="18"/>
  <c r="B150" i="18"/>
  <c r="I150" i="18"/>
  <c r="H150" i="18"/>
  <c r="C150" i="18"/>
  <c r="F126" i="18"/>
  <c r="I126" i="18"/>
  <c r="G126" i="18"/>
  <c r="B126" i="18"/>
  <c r="C126" i="18"/>
  <c r="F90" i="18"/>
  <c r="I90" i="18"/>
  <c r="H90" i="18"/>
  <c r="B90" i="18"/>
  <c r="F54" i="18"/>
  <c r="I54" i="18"/>
  <c r="H54" i="18"/>
  <c r="G54" i="18"/>
  <c r="B54" i="18"/>
  <c r="F42" i="18"/>
  <c r="B42" i="18"/>
  <c r="I42" i="18"/>
  <c r="H42" i="18"/>
  <c r="F18" i="18"/>
  <c r="I18" i="18"/>
  <c r="H18" i="18"/>
  <c r="B18" i="18"/>
  <c r="F6" i="18"/>
  <c r="I6" i="18"/>
  <c r="B6" i="18"/>
  <c r="H6" i="18"/>
  <c r="E57" i="18"/>
  <c r="D57" i="18"/>
  <c r="F234" i="18"/>
  <c r="I234" i="18"/>
  <c r="H234" i="18"/>
  <c r="G234" i="18"/>
  <c r="B234" i="18"/>
  <c r="C234" i="18"/>
  <c r="F186" i="18"/>
  <c r="H186" i="18"/>
  <c r="B186" i="18"/>
  <c r="I186" i="18"/>
  <c r="C186" i="18"/>
  <c r="G186" i="18"/>
  <c r="F138" i="18"/>
  <c r="G138" i="18"/>
  <c r="B138" i="18"/>
  <c r="C138" i="18"/>
  <c r="F102" i="18"/>
  <c r="G102" i="18"/>
  <c r="B102" i="18"/>
  <c r="H102" i="18"/>
  <c r="I102" i="18"/>
  <c r="F78" i="18"/>
  <c r="H78" i="18"/>
  <c r="G78" i="18"/>
  <c r="B78" i="18"/>
  <c r="I78" i="18"/>
  <c r="C78" i="18"/>
  <c r="F66" i="18"/>
  <c r="B66" i="18"/>
  <c r="I66" i="18"/>
  <c r="G66" i="18"/>
  <c r="F30" i="18"/>
  <c r="G30" i="18"/>
  <c r="B30" i="18"/>
  <c r="H30" i="18"/>
  <c r="D215" i="18"/>
  <c r="G245" i="18"/>
  <c r="H245" i="18"/>
  <c r="I245" i="18"/>
  <c r="G233" i="18"/>
  <c r="H233" i="18"/>
  <c r="I233" i="18"/>
  <c r="G221" i="18"/>
  <c r="H221" i="18"/>
  <c r="I221" i="18"/>
  <c r="F221" i="18"/>
  <c r="B221" i="18"/>
  <c r="G209" i="18"/>
  <c r="H209" i="18"/>
  <c r="I209" i="18"/>
  <c r="F209" i="18"/>
  <c r="B209" i="18"/>
  <c r="G197" i="18"/>
  <c r="H197" i="18"/>
  <c r="I197" i="18"/>
  <c r="F197" i="18"/>
  <c r="G185" i="18"/>
  <c r="H185" i="18"/>
  <c r="I185" i="18"/>
  <c r="F185" i="18"/>
  <c r="C185" i="18"/>
  <c r="D185" i="18" s="1"/>
  <c r="G173" i="18"/>
  <c r="H173" i="18"/>
  <c r="I173" i="18"/>
  <c r="F173" i="18"/>
  <c r="B173" i="18"/>
  <c r="G161" i="18"/>
  <c r="H161" i="18"/>
  <c r="I161" i="18"/>
  <c r="F161" i="18"/>
  <c r="B161" i="18"/>
  <c r="G149" i="18"/>
  <c r="H149" i="18"/>
  <c r="I149" i="18"/>
  <c r="B149" i="18"/>
  <c r="G137" i="18"/>
  <c r="H137" i="18"/>
  <c r="I137" i="18"/>
  <c r="F137" i="18"/>
  <c r="B137" i="18"/>
  <c r="G125" i="18"/>
  <c r="H125" i="18"/>
  <c r="I125" i="18"/>
  <c r="F125" i="18"/>
  <c r="G113" i="18"/>
  <c r="H113" i="18"/>
  <c r="I113" i="18"/>
  <c r="C113" i="18"/>
  <c r="G101" i="18"/>
  <c r="H101" i="18"/>
  <c r="I101" i="18"/>
  <c r="F101" i="18"/>
  <c r="G89" i="18"/>
  <c r="H89" i="18"/>
  <c r="I89" i="18"/>
  <c r="F89" i="18"/>
  <c r="G77" i="18"/>
  <c r="H77" i="18"/>
  <c r="I77" i="18"/>
  <c r="F77" i="18"/>
  <c r="G65" i="18"/>
  <c r="H65" i="18"/>
  <c r="I65" i="18"/>
  <c r="B65" i="18"/>
  <c r="F65" i="18"/>
  <c r="G53" i="18"/>
  <c r="H53" i="18"/>
  <c r="I53" i="18"/>
  <c r="F53" i="18"/>
  <c r="G41" i="18"/>
  <c r="H41" i="18"/>
  <c r="I41" i="18"/>
  <c r="C41" i="18"/>
  <c r="D41" i="18" s="1"/>
  <c r="F41" i="18"/>
  <c r="G29" i="18"/>
  <c r="H29" i="18"/>
  <c r="I29" i="18"/>
  <c r="F29" i="18"/>
  <c r="G17" i="18"/>
  <c r="H17" i="18"/>
  <c r="I17" i="18"/>
  <c r="B17" i="18"/>
  <c r="G5" i="18"/>
  <c r="H5" i="18"/>
  <c r="I5" i="18"/>
  <c r="F5" i="18"/>
  <c r="C5" i="18"/>
  <c r="B237" i="18"/>
  <c r="B214" i="18"/>
  <c r="B146" i="18"/>
  <c r="D119" i="18"/>
  <c r="E119" i="18"/>
  <c r="B75" i="18"/>
  <c r="D11" i="18"/>
  <c r="E11" i="18"/>
  <c r="C21" i="18"/>
  <c r="D62" i="18"/>
  <c r="F225" i="18"/>
  <c r="F17" i="18"/>
  <c r="H238" i="18"/>
  <c r="P7" i="18"/>
  <c r="P6" i="18"/>
  <c r="P8" i="18"/>
  <c r="F210" i="18"/>
  <c r="I210" i="18"/>
  <c r="H210" i="18"/>
  <c r="G210" i="18"/>
  <c r="F174" i="18"/>
  <c r="B174" i="18"/>
  <c r="G174" i="18"/>
  <c r="I174" i="18"/>
  <c r="C174" i="18"/>
  <c r="F114" i="18"/>
  <c r="H114" i="18"/>
  <c r="I114" i="18"/>
  <c r="B114" i="18"/>
  <c r="C114" i="18"/>
  <c r="E124" i="18"/>
  <c r="E20" i="3"/>
  <c r="H20" i="3" s="1"/>
  <c r="H6" i="15"/>
  <c r="E21" i="19" s="1"/>
  <c r="D170" i="18"/>
  <c r="D143" i="18"/>
  <c r="D74" i="18"/>
  <c r="E74" i="18"/>
  <c r="E53" i="18"/>
  <c r="D53" i="18"/>
  <c r="D33" i="18"/>
  <c r="E33" i="18"/>
  <c r="C210" i="18"/>
  <c r="G42" i="18"/>
  <c r="H154" i="18"/>
  <c r="F222" i="18"/>
  <c r="G222" i="18"/>
  <c r="I222" i="18"/>
  <c r="B222" i="18"/>
  <c r="E18" i="3"/>
  <c r="H18" i="3" s="1"/>
  <c r="E38" i="3"/>
  <c r="H243" i="18"/>
  <c r="I243" i="18"/>
  <c r="F243" i="18"/>
  <c r="G243" i="18"/>
  <c r="C243" i="18"/>
  <c r="E243" i="18" s="1"/>
  <c r="H231" i="18"/>
  <c r="I231" i="18"/>
  <c r="F231" i="18"/>
  <c r="C231" i="18"/>
  <c r="H219" i="18"/>
  <c r="I219" i="18"/>
  <c r="G219" i="18"/>
  <c r="F219" i="18"/>
  <c r="B219" i="18"/>
  <c r="C219" i="18"/>
  <c r="H207" i="18"/>
  <c r="I207" i="18"/>
  <c r="F207" i="18"/>
  <c r="C207" i="18"/>
  <c r="H195" i="18"/>
  <c r="I195" i="18"/>
  <c r="G195" i="18"/>
  <c r="B195" i="18"/>
  <c r="F195" i="18"/>
  <c r="C195" i="18"/>
  <c r="H183" i="18"/>
  <c r="I183" i="18"/>
  <c r="C183" i="18"/>
  <c r="E183" i="18" s="1"/>
  <c r="G183" i="18"/>
  <c r="H171" i="18"/>
  <c r="I171" i="18"/>
  <c r="G171" i="18"/>
  <c r="F171" i="18"/>
  <c r="C171" i="18"/>
  <c r="B171" i="18"/>
  <c r="H159" i="18"/>
  <c r="I159" i="18"/>
  <c r="G159" i="18"/>
  <c r="F159" i="18"/>
  <c r="H147" i="18"/>
  <c r="I147" i="18"/>
  <c r="G147" i="18"/>
  <c r="C147" i="18"/>
  <c r="D147" i="18" s="1"/>
  <c r="H135" i="18"/>
  <c r="I135" i="18"/>
  <c r="F135" i="18"/>
  <c r="G135" i="18"/>
  <c r="B135" i="18"/>
  <c r="H123" i="18"/>
  <c r="I123" i="18"/>
  <c r="F123" i="18"/>
  <c r="G123" i="18"/>
  <c r="B123" i="18"/>
  <c r="H111" i="18"/>
  <c r="I111" i="18"/>
  <c r="F111" i="18"/>
  <c r="C111" i="18"/>
  <c r="G111" i="18"/>
  <c r="B111" i="18"/>
  <c r="H99" i="18"/>
  <c r="I99" i="18"/>
  <c r="G99" i="18"/>
  <c r="C99" i="18"/>
  <c r="E99" i="18" s="1"/>
  <c r="H87" i="18"/>
  <c r="I87" i="18"/>
  <c r="F87" i="18"/>
  <c r="G87" i="18"/>
  <c r="C87" i="18"/>
  <c r="D87" i="18" s="1"/>
  <c r="H75" i="18"/>
  <c r="I75" i="18"/>
  <c r="G75" i="18"/>
  <c r="C75" i="18"/>
  <c r="H63" i="18"/>
  <c r="I63" i="18"/>
  <c r="F63" i="18"/>
  <c r="G63" i="18"/>
  <c r="C63" i="18"/>
  <c r="E63" i="18" s="1"/>
  <c r="H51" i="18"/>
  <c r="I51" i="18"/>
  <c r="G51" i="18"/>
  <c r="F51" i="18"/>
  <c r="B51" i="18"/>
  <c r="C51" i="18"/>
  <c r="H39" i="18"/>
  <c r="I39" i="18"/>
  <c r="G39" i="18"/>
  <c r="F39" i="18"/>
  <c r="C39" i="18"/>
  <c r="E39" i="18" s="1"/>
  <c r="H27" i="18"/>
  <c r="I27" i="18"/>
  <c r="C27" i="18"/>
  <c r="B27" i="18"/>
  <c r="H15" i="18"/>
  <c r="I15" i="18"/>
  <c r="F15" i="18"/>
  <c r="G15" i="18"/>
  <c r="B15" i="18"/>
  <c r="C15" i="18"/>
  <c r="H3" i="18"/>
  <c r="I3" i="18"/>
  <c r="G3" i="18"/>
  <c r="F3" i="18"/>
  <c r="B3" i="18"/>
  <c r="B231" i="18"/>
  <c r="D191" i="18"/>
  <c r="E191" i="18"/>
  <c r="D167" i="18"/>
  <c r="E167" i="18"/>
  <c r="B142" i="18"/>
  <c r="E73" i="18"/>
  <c r="C18" i="18"/>
  <c r="G114" i="18"/>
  <c r="H222" i="18"/>
  <c r="H138" i="18"/>
  <c r="H66" i="18"/>
  <c r="H242" i="18"/>
  <c r="G242" i="18"/>
  <c r="F242" i="18"/>
  <c r="C242" i="18"/>
  <c r="E242" i="18" s="1"/>
  <c r="H230" i="18"/>
  <c r="I230" i="18"/>
  <c r="F230" i="18"/>
  <c r="G230" i="18"/>
  <c r="H218" i="18"/>
  <c r="G218" i="18"/>
  <c r="I218" i="18"/>
  <c r="H206" i="18"/>
  <c r="I206" i="18"/>
  <c r="G206" i="18"/>
  <c r="B206" i="18"/>
  <c r="H194" i="18"/>
  <c r="G194" i="18"/>
  <c r="I194" i="18"/>
  <c r="B194" i="18"/>
  <c r="H182" i="18"/>
  <c r="G182" i="18"/>
  <c r="F182" i="18"/>
  <c r="I182" i="18"/>
  <c r="H170" i="18"/>
  <c r="I170" i="18"/>
  <c r="G170" i="18"/>
  <c r="F170" i="18"/>
  <c r="C170" i="18"/>
  <c r="E170" i="18" s="1"/>
  <c r="H158" i="18"/>
  <c r="F158" i="18"/>
  <c r="I158" i="18"/>
  <c r="H146" i="18"/>
  <c r="G146" i="18"/>
  <c r="F146" i="18"/>
  <c r="I146" i="18"/>
  <c r="H134" i="18"/>
  <c r="F134" i="18"/>
  <c r="G134" i="18"/>
  <c r="I134" i="18"/>
  <c r="H122" i="18"/>
  <c r="I122" i="18"/>
  <c r="B122" i="18"/>
  <c r="G122" i="18"/>
  <c r="H110" i="18"/>
  <c r="G110" i="18"/>
  <c r="F110" i="18"/>
  <c r="I110" i="18"/>
  <c r="H98" i="18"/>
  <c r="G98" i="18"/>
  <c r="C98" i="18"/>
  <c r="E98" i="18" s="1"/>
  <c r="F98" i="18"/>
  <c r="I98" i="18"/>
  <c r="H86" i="18"/>
  <c r="F86" i="18"/>
  <c r="I86" i="18"/>
  <c r="G86" i="18"/>
  <c r="B86" i="18"/>
  <c r="H74" i="18"/>
  <c r="G74" i="18"/>
  <c r="I74" i="18"/>
  <c r="H62" i="18"/>
  <c r="G62" i="18"/>
  <c r="F62" i="18"/>
  <c r="I62" i="18"/>
  <c r="E38" i="18"/>
  <c r="B230" i="18"/>
  <c r="B190" i="18"/>
  <c r="B141" i="18"/>
  <c r="B113" i="18"/>
  <c r="B29" i="18"/>
  <c r="B5" i="18"/>
  <c r="C233" i="18"/>
  <c r="E233" i="18" s="1"/>
  <c r="C206" i="18"/>
  <c r="C117" i="18"/>
  <c r="E117" i="18" s="1"/>
  <c r="C66" i="18"/>
  <c r="C42" i="18"/>
  <c r="C17" i="18"/>
  <c r="F218" i="18"/>
  <c r="F147" i="18"/>
  <c r="G250" i="18"/>
  <c r="G27" i="18"/>
  <c r="H213" i="18"/>
  <c r="H130" i="18"/>
  <c r="I226" i="18"/>
  <c r="I241" i="18"/>
  <c r="H241" i="18"/>
  <c r="C241" i="18"/>
  <c r="E241" i="18" s="1"/>
  <c r="I229" i="18"/>
  <c r="H229" i="18"/>
  <c r="F229" i="18"/>
  <c r="C229" i="18"/>
  <c r="I217" i="18"/>
  <c r="G217" i="18"/>
  <c r="F217" i="18"/>
  <c r="B217" i="18"/>
  <c r="C217" i="18"/>
  <c r="H217" i="18"/>
  <c r="I205" i="18"/>
  <c r="G205" i="18"/>
  <c r="F205" i="18"/>
  <c r="I193" i="18"/>
  <c r="H193" i="18"/>
  <c r="G193" i="18"/>
  <c r="F193" i="18"/>
  <c r="I181" i="18"/>
  <c r="F181" i="18"/>
  <c r="G181" i="18"/>
  <c r="H181" i="18"/>
  <c r="B181" i="18"/>
  <c r="C181" i="18"/>
  <c r="I169" i="18"/>
  <c r="H169" i="18"/>
  <c r="F169" i="18"/>
  <c r="B169" i="18"/>
  <c r="I157" i="18"/>
  <c r="G157" i="18"/>
  <c r="F157" i="18"/>
  <c r="C157" i="18"/>
  <c r="B157" i="18"/>
  <c r="I145" i="18"/>
  <c r="H145" i="18"/>
  <c r="G145" i="18"/>
  <c r="C145" i="18"/>
  <c r="B145" i="18"/>
  <c r="I133" i="18"/>
  <c r="G133" i="18"/>
  <c r="B133" i="18"/>
  <c r="H133" i="18"/>
  <c r="C133" i="18"/>
  <c r="I121" i="18"/>
  <c r="G121" i="18"/>
  <c r="B121" i="18"/>
  <c r="C121" i="18"/>
  <c r="I109" i="18"/>
  <c r="G109" i="18"/>
  <c r="B109" i="18"/>
  <c r="H109" i="18"/>
  <c r="C109" i="18"/>
  <c r="F109" i="18"/>
  <c r="I97" i="18"/>
  <c r="H97" i="18"/>
  <c r="F97" i="18"/>
  <c r="G97" i="18"/>
  <c r="C97" i="18"/>
  <c r="E97" i="18" s="1"/>
  <c r="I85" i="18"/>
  <c r="F85" i="18"/>
  <c r="C85" i="18"/>
  <c r="E85" i="18" s="1"/>
  <c r="I73" i="18"/>
  <c r="H73" i="18"/>
  <c r="F73" i="18"/>
  <c r="I61" i="18"/>
  <c r="H61" i="18"/>
  <c r="C61" i="18"/>
  <c r="E61" i="18" s="1"/>
  <c r="I49" i="18"/>
  <c r="F49" i="18"/>
  <c r="C49" i="18"/>
  <c r="D49" i="18" s="1"/>
  <c r="G49" i="18"/>
  <c r="I37" i="18"/>
  <c r="H37" i="18"/>
  <c r="C37" i="18"/>
  <c r="G37" i="18"/>
  <c r="B37" i="18"/>
  <c r="I25" i="18"/>
  <c r="C25" i="18"/>
  <c r="E25" i="18" s="1"/>
  <c r="H25" i="18"/>
  <c r="F25" i="18"/>
  <c r="G25" i="18"/>
  <c r="I13" i="18"/>
  <c r="H13" i="18"/>
  <c r="C13" i="18"/>
  <c r="E13" i="18" s="1"/>
  <c r="G13" i="18"/>
  <c r="B250" i="18"/>
  <c r="B229" i="18"/>
  <c r="B210" i="18"/>
  <c r="B89" i="18"/>
  <c r="C230" i="18"/>
  <c r="C205" i="18"/>
  <c r="E205" i="18" s="1"/>
  <c r="C182" i="18"/>
  <c r="E182" i="18" s="1"/>
  <c r="C161" i="18"/>
  <c r="C137" i="18"/>
  <c r="C90" i="18"/>
  <c r="C65" i="18"/>
  <c r="F145" i="18"/>
  <c r="F61" i="18"/>
  <c r="G241" i="18"/>
  <c r="G90" i="18"/>
  <c r="H205" i="18"/>
  <c r="H126" i="18"/>
  <c r="H49" i="18"/>
  <c r="I138" i="18"/>
  <c r="B246" i="18"/>
  <c r="E227" i="18"/>
  <c r="D227" i="18"/>
  <c r="E134" i="18"/>
  <c r="D134" i="18"/>
  <c r="D197" i="18"/>
  <c r="D95" i="18"/>
  <c r="E95" i="18"/>
  <c r="G244" i="18"/>
  <c r="C244" i="18"/>
  <c r="E244" i="18" s="1"/>
  <c r="G232" i="18"/>
  <c r="H232" i="18"/>
  <c r="F232" i="18"/>
  <c r="C232" i="18"/>
  <c r="I232" i="18"/>
  <c r="G220" i="18"/>
  <c r="C220" i="18"/>
  <c r="D220" i="18" s="1"/>
  <c r="H220" i="18"/>
  <c r="G208" i="18"/>
  <c r="H208" i="18"/>
  <c r="C208" i="18"/>
  <c r="B208" i="18"/>
  <c r="G196" i="18"/>
  <c r="F196" i="18"/>
  <c r="C196" i="18"/>
  <c r="D196" i="18" s="1"/>
  <c r="H196" i="18"/>
  <c r="G184" i="18"/>
  <c r="F184" i="18"/>
  <c r="C184" i="18"/>
  <c r="I184" i="18"/>
  <c r="H184" i="18"/>
  <c r="G172" i="18"/>
  <c r="H172" i="18"/>
  <c r="C172" i="18"/>
  <c r="E172" i="18" s="1"/>
  <c r="I172" i="18"/>
  <c r="G160" i="18"/>
  <c r="F160" i="18"/>
  <c r="C160" i="18"/>
  <c r="D160" i="18" s="1"/>
  <c r="I160" i="18"/>
  <c r="G148" i="18"/>
  <c r="F148" i="18"/>
  <c r="I148" i="18"/>
  <c r="C148" i="18"/>
  <c r="E148" i="18" s="1"/>
  <c r="H148" i="18"/>
  <c r="G136" i="18"/>
  <c r="H136" i="18"/>
  <c r="I136" i="18"/>
  <c r="C136" i="18"/>
  <c r="B136" i="18"/>
  <c r="F136" i="18"/>
  <c r="G124" i="18"/>
  <c r="C124" i="18"/>
  <c r="D124" i="18" s="1"/>
  <c r="H124" i="18"/>
  <c r="F124" i="18"/>
  <c r="G112" i="18"/>
  <c r="F112" i="18"/>
  <c r="I112" i="18"/>
  <c r="C112" i="18"/>
  <c r="E112" i="18" s="1"/>
  <c r="G100" i="18"/>
  <c r="C100" i="18"/>
  <c r="I100" i="18"/>
  <c r="G88" i="18"/>
  <c r="I88" i="18"/>
  <c r="F88" i="18"/>
  <c r="C88" i="18"/>
  <c r="G76" i="18"/>
  <c r="F76" i="18"/>
  <c r="C76" i="18"/>
  <c r="G64" i="18"/>
  <c r="F64" i="18"/>
  <c r="C64" i="18"/>
  <c r="B64" i="18"/>
  <c r="H64" i="18"/>
  <c r="G52" i="18"/>
  <c r="I52" i="18"/>
  <c r="C52" i="18"/>
  <c r="D52" i="18" s="1"/>
  <c r="H52" i="18"/>
  <c r="G40" i="18"/>
  <c r="F40" i="18"/>
  <c r="C40" i="18"/>
  <c r="D40" i="18" s="1"/>
  <c r="H40" i="18"/>
  <c r="G28" i="18"/>
  <c r="I28" i="18"/>
  <c r="F28" i="18"/>
  <c r="C28" i="18"/>
  <c r="G16" i="18"/>
  <c r="I16" i="18"/>
  <c r="F16" i="18"/>
  <c r="C16" i="18"/>
  <c r="D16" i="18" s="1"/>
  <c r="G4" i="18"/>
  <c r="F4" i="18"/>
  <c r="I4" i="18"/>
  <c r="H4" i="18"/>
  <c r="C4" i="18"/>
  <c r="D4" i="18" s="1"/>
  <c r="B88" i="18"/>
  <c r="F172" i="18"/>
  <c r="H88" i="18"/>
  <c r="H50" i="18"/>
  <c r="F50" i="18"/>
  <c r="I50" i="18"/>
  <c r="G50" i="18"/>
  <c r="B50" i="18"/>
  <c r="H38" i="18"/>
  <c r="G38" i="18"/>
  <c r="F38" i="18"/>
  <c r="I38" i="18"/>
  <c r="H26" i="18"/>
  <c r="F26" i="18"/>
  <c r="I26" i="18"/>
  <c r="E251" i="18"/>
  <c r="D251" i="18"/>
  <c r="E52" i="18"/>
  <c r="F244" i="18"/>
  <c r="F208" i="18"/>
  <c r="I220" i="18"/>
  <c r="I2" i="18"/>
  <c r="H2" i="18"/>
  <c r="F2" i="18"/>
  <c r="B2" i="18"/>
  <c r="P2" i="18"/>
  <c r="I240" i="18"/>
  <c r="F240" i="18"/>
  <c r="G240" i="18"/>
  <c r="B240" i="18"/>
  <c r="I228" i="18"/>
  <c r="G228" i="18"/>
  <c r="B228" i="18"/>
  <c r="F228" i="18"/>
  <c r="C228" i="18"/>
  <c r="H228" i="18"/>
  <c r="I216" i="18"/>
  <c r="H216" i="18"/>
  <c r="G216" i="18"/>
  <c r="F216" i="18"/>
  <c r="B216" i="18"/>
  <c r="I204" i="18"/>
  <c r="B204" i="18"/>
  <c r="F204" i="18"/>
  <c r="I192" i="18"/>
  <c r="B192" i="18"/>
  <c r="H192" i="18"/>
  <c r="I180" i="18"/>
  <c r="H180" i="18"/>
  <c r="G180" i="18"/>
  <c r="F180" i="18"/>
  <c r="B180" i="18"/>
  <c r="I168" i="18"/>
  <c r="F168" i="18"/>
  <c r="B168" i="18"/>
  <c r="I156" i="18"/>
  <c r="G156" i="18"/>
  <c r="H156" i="18"/>
  <c r="B156" i="18"/>
  <c r="C156" i="18"/>
  <c r="I144" i="18"/>
  <c r="H144" i="18"/>
  <c r="F144" i="18"/>
  <c r="B144" i="18"/>
  <c r="G144" i="18"/>
  <c r="I132" i="18"/>
  <c r="F132" i="18"/>
  <c r="H132" i="18"/>
  <c r="B132" i="18"/>
  <c r="I120" i="18"/>
  <c r="H120" i="18"/>
  <c r="F120" i="18"/>
  <c r="B120" i="18"/>
  <c r="I108" i="18"/>
  <c r="H108" i="18"/>
  <c r="F108" i="18"/>
  <c r="B108" i="18"/>
  <c r="I96" i="18"/>
  <c r="F96" i="18"/>
  <c r="H96" i="18"/>
  <c r="B96" i="18"/>
  <c r="G96" i="18"/>
  <c r="I84" i="18"/>
  <c r="G84" i="18"/>
  <c r="H84" i="18"/>
  <c r="B84" i="18"/>
  <c r="F84" i="18"/>
  <c r="C84" i="18"/>
  <c r="I72" i="18"/>
  <c r="H72" i="18"/>
  <c r="B72" i="18"/>
  <c r="I60" i="18"/>
  <c r="F60" i="18"/>
  <c r="G60" i="18"/>
  <c r="B60" i="18"/>
  <c r="H60" i="18"/>
  <c r="I48" i="18"/>
  <c r="H48" i="18"/>
  <c r="G48" i="18"/>
  <c r="B48" i="18"/>
  <c r="F48" i="18"/>
  <c r="I36" i="18"/>
  <c r="H36" i="18"/>
  <c r="B36" i="18"/>
  <c r="I24" i="18"/>
  <c r="F24" i="18"/>
  <c r="G24" i="18"/>
  <c r="B24" i="18"/>
  <c r="H24" i="18"/>
  <c r="C24" i="18"/>
  <c r="I12" i="18"/>
  <c r="G12" i="18"/>
  <c r="H12" i="18"/>
  <c r="F12" i="18"/>
  <c r="B12" i="18"/>
  <c r="B232" i="18"/>
  <c r="B184" i="18"/>
  <c r="B100" i="18"/>
  <c r="E83" i="18"/>
  <c r="D47" i="18"/>
  <c r="C38" i="18"/>
  <c r="D38" i="18" s="1"/>
  <c r="D59" i="18"/>
  <c r="D34" i="18"/>
  <c r="F100" i="18"/>
  <c r="G36" i="18"/>
  <c r="H240" i="18"/>
  <c r="H16" i="18"/>
  <c r="I40" i="18"/>
  <c r="G251" i="18"/>
  <c r="F251" i="18"/>
  <c r="H239" i="18"/>
  <c r="I239" i="18"/>
  <c r="F227" i="18"/>
  <c r="I227" i="18"/>
  <c r="F215" i="18"/>
  <c r="H215" i="18"/>
  <c r="F203" i="18"/>
  <c r="I203" i="18"/>
  <c r="G203" i="18"/>
  <c r="H203" i="18"/>
  <c r="F191" i="18"/>
  <c r="H191" i="18"/>
  <c r="F179" i="18"/>
  <c r="H179" i="18"/>
  <c r="F167" i="18"/>
  <c r="H167" i="18"/>
  <c r="G167" i="18"/>
  <c r="F155" i="18"/>
  <c r="H155" i="18"/>
  <c r="F143" i="18"/>
  <c r="H143" i="18"/>
  <c r="G143" i="18"/>
  <c r="F131" i="18"/>
  <c r="I131" i="18"/>
  <c r="G131" i="18"/>
  <c r="H131" i="18"/>
  <c r="F119" i="18"/>
  <c r="G119" i="18"/>
  <c r="F107" i="18"/>
  <c r="I107" i="18"/>
  <c r="G107" i="18"/>
  <c r="H107" i="18"/>
  <c r="F95" i="18"/>
  <c r="G95" i="18"/>
  <c r="F83" i="18"/>
  <c r="G83" i="18"/>
  <c r="F71" i="18"/>
  <c r="I71" i="18"/>
  <c r="H71" i="18"/>
  <c r="G71" i="18"/>
  <c r="F59" i="18"/>
  <c r="G59" i="18"/>
  <c r="F47" i="18"/>
  <c r="I47" i="18"/>
  <c r="F35" i="18"/>
  <c r="G35" i="18"/>
  <c r="F23" i="18"/>
  <c r="I23" i="18"/>
  <c r="H23" i="18"/>
  <c r="C215" i="18"/>
  <c r="E215" i="18" s="1"/>
  <c r="C143" i="18"/>
  <c r="E143" i="18" s="1"/>
  <c r="C71" i="18"/>
  <c r="E71" i="18" s="1"/>
  <c r="G215" i="18"/>
  <c r="G179" i="18"/>
  <c r="I191" i="18"/>
  <c r="G94" i="18"/>
  <c r="H94" i="18"/>
  <c r="C94" i="18"/>
  <c r="D94" i="18" s="1"/>
  <c r="I82" i="18"/>
  <c r="C82" i="18"/>
  <c r="D82" i="18" s="1"/>
  <c r="I70" i="18"/>
  <c r="F70" i="18"/>
  <c r="C70" i="18"/>
  <c r="E70" i="18" s="1"/>
  <c r="G58" i="18"/>
  <c r="H58" i="18"/>
  <c r="I58" i="18"/>
  <c r="C58" i="18"/>
  <c r="D58" i="18" s="1"/>
  <c r="F46" i="18"/>
  <c r="H46" i="18"/>
  <c r="C46" i="18"/>
  <c r="E46" i="18" s="1"/>
  <c r="I34" i="18"/>
  <c r="H34" i="18"/>
  <c r="F34" i="18"/>
  <c r="C34" i="18"/>
  <c r="E34" i="18" s="1"/>
  <c r="G22" i="18"/>
  <c r="H22" i="18"/>
  <c r="I22" i="18"/>
  <c r="C22" i="18"/>
  <c r="D22" i="18" s="1"/>
  <c r="F10" i="18"/>
  <c r="G10" i="18"/>
  <c r="I10" i="18"/>
  <c r="C10" i="18"/>
  <c r="D10" i="18" s="1"/>
  <c r="D179" i="18"/>
  <c r="D107" i="18"/>
  <c r="D35" i="18"/>
  <c r="G14" i="18"/>
  <c r="I14" i="18"/>
  <c r="E13" i="19"/>
  <c r="H12" i="19"/>
  <c r="H13" i="19"/>
  <c r="E11" i="19"/>
  <c r="E34" i="3"/>
  <c r="E10" i="19"/>
  <c r="D34" i="3"/>
  <c r="B4" i="16" a="1"/>
  <c r="B4" i="16" s="1"/>
  <c r="A17" i="15" a="1"/>
  <c r="A17" i="15" s="1"/>
  <c r="A3" i="13" a="1"/>
  <c r="A3" i="13" s="1"/>
  <c r="H2" i="13"/>
  <c r="B2" i="13"/>
  <c r="C2" i="13"/>
  <c r="D2" i="13"/>
  <c r="E2" i="13"/>
  <c r="G2" i="13"/>
  <c r="G11" i="3"/>
  <c r="G12" i="3"/>
  <c r="E11" i="3"/>
  <c r="H11" i="3" s="1"/>
  <c r="D38" i="3"/>
  <c r="D37" i="3"/>
  <c r="D36" i="3"/>
  <c r="E35" i="3"/>
  <c r="E19" i="3"/>
  <c r="H19" i="3" s="1"/>
  <c r="F14" i="3"/>
  <c r="G19" i="3"/>
  <c r="G20" i="3"/>
  <c r="G18" i="3"/>
  <c r="G17" i="3"/>
  <c r="G16" i="3"/>
  <c r="G15" i="3"/>
  <c r="G14" i="3"/>
  <c r="G13" i="3"/>
  <c r="F20" i="3"/>
  <c r="F19" i="3"/>
  <c r="F18" i="3"/>
  <c r="F17" i="3"/>
  <c r="F16" i="3"/>
  <c r="F13" i="3"/>
  <c r="F12" i="3"/>
  <c r="E14" i="3"/>
  <c r="H14" i="3" s="1"/>
  <c r="E15" i="3"/>
  <c r="H15" i="3" s="1"/>
  <c r="E76" i="18" l="1"/>
  <c r="D117" i="18"/>
  <c r="D85" i="18"/>
  <c r="E45" i="18"/>
  <c r="E4" i="18"/>
  <c r="E207" i="18"/>
  <c r="E16" i="18"/>
  <c r="D46" i="18"/>
  <c r="D70" i="18"/>
  <c r="E193" i="18"/>
  <c r="D39" i="18"/>
  <c r="E199" i="18"/>
  <c r="E49" i="18"/>
  <c r="E87" i="18"/>
  <c r="D233" i="18"/>
  <c r="D112" i="18"/>
  <c r="D9" i="18"/>
  <c r="D28" i="18"/>
  <c r="E10" i="18"/>
  <c r="E94" i="18"/>
  <c r="E185" i="18"/>
  <c r="E82" i="18"/>
  <c r="D192" i="18"/>
  <c r="E192" i="18"/>
  <c r="D56" i="18"/>
  <c r="E56" i="18"/>
  <c r="E184" i="18"/>
  <c r="D184" i="18"/>
  <c r="E96" i="18"/>
  <c r="D96" i="18"/>
  <c r="D132" i="18"/>
  <c r="E132" i="18"/>
  <c r="D228" i="18"/>
  <c r="E228" i="18"/>
  <c r="E208" i="18"/>
  <c r="D208" i="18"/>
  <c r="D250" i="18"/>
  <c r="E250" i="18"/>
  <c r="E109" i="18"/>
  <c r="D109" i="18"/>
  <c r="E145" i="18"/>
  <c r="D145" i="18"/>
  <c r="D190" i="18"/>
  <c r="E190" i="18"/>
  <c r="D194" i="18"/>
  <c r="E194" i="18"/>
  <c r="D3" i="18"/>
  <c r="E3" i="18"/>
  <c r="E149" i="18"/>
  <c r="D149" i="18"/>
  <c r="E186" i="18"/>
  <c r="D186" i="18"/>
  <c r="D42" i="18"/>
  <c r="E42" i="18"/>
  <c r="E126" i="18"/>
  <c r="D126" i="18"/>
  <c r="E162" i="18"/>
  <c r="D162" i="18"/>
  <c r="E129" i="18"/>
  <c r="D129" i="18"/>
  <c r="E166" i="18"/>
  <c r="D166" i="18"/>
  <c r="D236" i="18"/>
  <c r="E236" i="18"/>
  <c r="E188" i="18"/>
  <c r="D188" i="18"/>
  <c r="E226" i="18"/>
  <c r="D115" i="18"/>
  <c r="E115" i="18"/>
  <c r="E139" i="18"/>
  <c r="D139" i="18"/>
  <c r="D207" i="18"/>
  <c r="D232" i="18"/>
  <c r="E232" i="18"/>
  <c r="D36" i="18"/>
  <c r="E36" i="18"/>
  <c r="D172" i="18"/>
  <c r="D230" i="18"/>
  <c r="E230" i="18"/>
  <c r="D122" i="18"/>
  <c r="E122" i="18"/>
  <c r="D114" i="18"/>
  <c r="E114" i="18"/>
  <c r="D75" i="18"/>
  <c r="E75" i="18"/>
  <c r="D17" i="18"/>
  <c r="E17" i="18"/>
  <c r="D98" i="18"/>
  <c r="E69" i="18"/>
  <c r="D69" i="18"/>
  <c r="E106" i="18"/>
  <c r="D106" i="18"/>
  <c r="D243" i="18"/>
  <c r="E212" i="18"/>
  <c r="D212" i="18"/>
  <c r="E247" i="18"/>
  <c r="D247" i="18"/>
  <c r="D183" i="18"/>
  <c r="E100" i="18"/>
  <c r="D100" i="18"/>
  <c r="P5" i="18"/>
  <c r="P4" i="18"/>
  <c r="P3" i="18"/>
  <c r="D141" i="18"/>
  <c r="E141" i="18"/>
  <c r="E209" i="18"/>
  <c r="D209" i="18"/>
  <c r="E224" i="18"/>
  <c r="D224" i="18"/>
  <c r="E163" i="18"/>
  <c r="D163" i="18"/>
  <c r="E72" i="18"/>
  <c r="D72" i="18"/>
  <c r="D168" i="18"/>
  <c r="E168" i="18"/>
  <c r="D102" i="18"/>
  <c r="E102" i="18"/>
  <c r="D91" i="18"/>
  <c r="E91" i="18"/>
  <c r="E6" i="18"/>
  <c r="D6" i="18"/>
  <c r="D202" i="18"/>
  <c r="E202" i="18"/>
  <c r="D165" i="18"/>
  <c r="E165" i="18"/>
  <c r="E67" i="18"/>
  <c r="D67" i="18"/>
  <c r="E108" i="18"/>
  <c r="D108" i="18"/>
  <c r="D216" i="18"/>
  <c r="E216" i="18"/>
  <c r="D76" i="18"/>
  <c r="E28" i="18"/>
  <c r="E121" i="18"/>
  <c r="D121" i="18"/>
  <c r="D206" i="18"/>
  <c r="E206" i="18"/>
  <c r="E146" i="18"/>
  <c r="D146" i="18"/>
  <c r="E161" i="18"/>
  <c r="D161" i="18"/>
  <c r="D221" i="18"/>
  <c r="E221" i="18"/>
  <c r="E66" i="18"/>
  <c r="D66" i="18"/>
  <c r="E234" i="18"/>
  <c r="D234" i="18"/>
  <c r="E105" i="18"/>
  <c r="D105" i="18"/>
  <c r="E118" i="18"/>
  <c r="D118" i="18"/>
  <c r="E80" i="18"/>
  <c r="D80" i="18"/>
  <c r="E175" i="18"/>
  <c r="D175" i="18"/>
  <c r="D63" i="18"/>
  <c r="E48" i="18"/>
  <c r="D48" i="18"/>
  <c r="D144" i="18"/>
  <c r="E144" i="18"/>
  <c r="E180" i="18"/>
  <c r="D180" i="18"/>
  <c r="E157" i="18"/>
  <c r="D157" i="18"/>
  <c r="E217" i="18"/>
  <c r="D217" i="18"/>
  <c r="E219" i="18"/>
  <c r="D219" i="18"/>
  <c r="E249" i="18"/>
  <c r="D249" i="18"/>
  <c r="D182" i="18"/>
  <c r="D178" i="18"/>
  <c r="E178" i="18"/>
  <c r="D140" i="18"/>
  <c r="E140" i="18"/>
  <c r="D116" i="18"/>
  <c r="E116" i="18"/>
  <c r="E40" i="18"/>
  <c r="D241" i="18"/>
  <c r="E151" i="18"/>
  <c r="D151" i="18"/>
  <c r="D200" i="18"/>
  <c r="E27" i="18"/>
  <c r="D27" i="18"/>
  <c r="E201" i="18"/>
  <c r="D201" i="18"/>
  <c r="D142" i="18"/>
  <c r="E142" i="18"/>
  <c r="E15" i="18"/>
  <c r="D15" i="18"/>
  <c r="E222" i="18"/>
  <c r="D222" i="18"/>
  <c r="E214" i="18"/>
  <c r="D214" i="18"/>
  <c r="E147" i="18"/>
  <c r="E138" i="18"/>
  <c r="D138" i="18"/>
  <c r="E18" i="18"/>
  <c r="D18" i="18"/>
  <c r="D154" i="18"/>
  <c r="E154" i="18"/>
  <c r="D81" i="18"/>
  <c r="D128" i="18"/>
  <c r="E128" i="18"/>
  <c r="D205" i="18"/>
  <c r="D148" i="18"/>
  <c r="D88" i="18"/>
  <c r="E88" i="18"/>
  <c r="E229" i="18"/>
  <c r="D229" i="18"/>
  <c r="E189" i="18"/>
  <c r="D189" i="18"/>
  <c r="E84" i="18"/>
  <c r="D84" i="18"/>
  <c r="E196" i="18"/>
  <c r="E246" i="18"/>
  <c r="D246" i="18"/>
  <c r="D135" i="18"/>
  <c r="E135" i="18"/>
  <c r="E237" i="18"/>
  <c r="D237" i="18"/>
  <c r="D65" i="18"/>
  <c r="E65" i="18"/>
  <c r="D137" i="18"/>
  <c r="E137" i="18"/>
  <c r="D90" i="18"/>
  <c r="E90" i="18"/>
  <c r="D150" i="18"/>
  <c r="E150" i="18"/>
  <c r="E198" i="18"/>
  <c r="D198" i="18"/>
  <c r="D21" i="18"/>
  <c r="E21" i="18"/>
  <c r="D25" i="18"/>
  <c r="D97" i="18"/>
  <c r="D211" i="18"/>
  <c r="E211" i="18"/>
  <c r="D235" i="18"/>
  <c r="E235" i="18"/>
  <c r="E231" i="18"/>
  <c r="D231" i="18"/>
  <c r="E30" i="18"/>
  <c r="D30" i="18"/>
  <c r="D204" i="18"/>
  <c r="E204" i="18"/>
  <c r="E123" i="18"/>
  <c r="D123" i="18"/>
  <c r="E54" i="18"/>
  <c r="D54" i="18"/>
  <c r="D130" i="18"/>
  <c r="E130" i="18"/>
  <c r="D92" i="18"/>
  <c r="E92" i="18"/>
  <c r="E223" i="18"/>
  <c r="D223" i="18"/>
  <c r="E240" i="18"/>
  <c r="D240" i="18"/>
  <c r="E50" i="18"/>
  <c r="D50" i="18"/>
  <c r="E181" i="18"/>
  <c r="D181" i="18"/>
  <c r="E238" i="18"/>
  <c r="D238" i="18"/>
  <c r="E8" i="18"/>
  <c r="D8" i="18"/>
  <c r="D19" i="18"/>
  <c r="E19" i="18"/>
  <c r="E43" i="18"/>
  <c r="D43" i="18"/>
  <c r="C17" i="15"/>
  <c r="B17" i="15"/>
  <c r="E120" i="18"/>
  <c r="D120" i="18"/>
  <c r="D2" i="18"/>
  <c r="E2" i="18"/>
  <c r="D89" i="18"/>
  <c r="E89" i="18"/>
  <c r="E5" i="18"/>
  <c r="D5" i="18"/>
  <c r="E111" i="18"/>
  <c r="D111" i="18"/>
  <c r="D171" i="18"/>
  <c r="E171" i="18"/>
  <c r="E195" i="18"/>
  <c r="D195" i="18"/>
  <c r="D13" i="18"/>
  <c r="E174" i="18"/>
  <c r="D174" i="18"/>
  <c r="D78" i="18"/>
  <c r="E78" i="18"/>
  <c r="E41" i="18"/>
  <c r="D104" i="18"/>
  <c r="E104" i="18"/>
  <c r="E55" i="18"/>
  <c r="D55" i="18"/>
  <c r="E103" i="18"/>
  <c r="D103" i="18"/>
  <c r="D242" i="18"/>
  <c r="D93" i="18"/>
  <c r="E93" i="18"/>
  <c r="D32" i="18"/>
  <c r="E32" i="18"/>
  <c r="E12" i="18"/>
  <c r="D12" i="18"/>
  <c r="E29" i="18"/>
  <c r="D29" i="18"/>
  <c r="D68" i="18"/>
  <c r="E68" i="18"/>
  <c r="E44" i="18"/>
  <c r="D44" i="18"/>
  <c r="D164" i="18"/>
  <c r="E164" i="18"/>
  <c r="D7" i="18"/>
  <c r="E7" i="18"/>
  <c r="D187" i="18"/>
  <c r="E187" i="18"/>
  <c r="E20" i="18"/>
  <c r="D20" i="18"/>
  <c r="E24" i="18"/>
  <c r="D24" i="18"/>
  <c r="E136" i="18"/>
  <c r="D136" i="18"/>
  <c r="E133" i="18"/>
  <c r="D133" i="18"/>
  <c r="E51" i="18"/>
  <c r="D51" i="18"/>
  <c r="D173" i="18"/>
  <c r="E173" i="18"/>
  <c r="E248" i="18"/>
  <c r="D248" i="18"/>
  <c r="D79" i="18"/>
  <c r="E79" i="18"/>
  <c r="B5" i="16" a="1"/>
  <c r="B5" i="16" s="1"/>
  <c r="D60" i="18"/>
  <c r="E60" i="18"/>
  <c r="E156" i="18"/>
  <c r="D156" i="18"/>
  <c r="D71" i="18"/>
  <c r="D64" i="18"/>
  <c r="E64" i="18"/>
  <c r="E210" i="18"/>
  <c r="D210" i="18"/>
  <c r="E37" i="18"/>
  <c r="D37" i="18"/>
  <c r="E169" i="18"/>
  <c r="D169" i="18"/>
  <c r="E113" i="18"/>
  <c r="D113" i="18"/>
  <c r="D86" i="18"/>
  <c r="E86" i="18"/>
  <c r="E152" i="18"/>
  <c r="D152" i="18"/>
  <c r="E31" i="18"/>
  <c r="D31" i="18"/>
  <c r="A18" i="15" a="1"/>
  <c r="A18" i="15" s="1"/>
  <c r="A4" i="13" a="1"/>
  <c r="A4" i="13" s="1"/>
  <c r="I2" i="13"/>
  <c r="F3" i="13"/>
  <c r="E3" i="13"/>
  <c r="I3" i="13" s="1"/>
  <c r="D3" i="13"/>
  <c r="C3" i="13"/>
  <c r="H3" i="13"/>
  <c r="B3" i="13"/>
  <c r="G3" i="13"/>
  <c r="B18" i="15" l="1"/>
  <c r="C18" i="15"/>
  <c r="B6" i="16" a="1"/>
  <c r="B6" i="16" s="1"/>
  <c r="A19" i="15" a="1"/>
  <c r="A19" i="15" s="1"/>
  <c r="A20" i="15" s="1" a="1"/>
  <c r="A20" i="15" s="1"/>
  <c r="A5" i="13" a="1"/>
  <c r="A5" i="13" s="1"/>
  <c r="F4" i="13"/>
  <c r="E4" i="13"/>
  <c r="D4" i="13"/>
  <c r="C4" i="13"/>
  <c r="H4" i="13"/>
  <c r="G4" i="13"/>
  <c r="B4" i="13"/>
  <c r="C20" i="15" l="1"/>
  <c r="B20" i="15"/>
  <c r="B7" i="16" a="1"/>
  <c r="B7" i="16" s="1"/>
  <c r="B19" i="15"/>
  <c r="C19" i="15"/>
  <c r="A21" i="15" a="1"/>
  <c r="A21" i="15" s="1"/>
  <c r="G5" i="13"/>
  <c r="F5" i="13"/>
  <c r="E5" i="13"/>
  <c r="D5" i="13"/>
  <c r="B5" i="13"/>
  <c r="C5" i="13"/>
  <c r="H5" i="13"/>
  <c r="I4" i="13"/>
  <c r="A6" i="13" a="1"/>
  <c r="A6" i="13" s="1"/>
  <c r="B8" i="16" l="1" a="1"/>
  <c r="B8" i="16" s="1"/>
  <c r="C21" i="15"/>
  <c r="B21" i="15"/>
  <c r="A22" i="15" a="1"/>
  <c r="A22" i="15" s="1"/>
  <c r="B6" i="13"/>
  <c r="G6" i="13"/>
  <c r="F6" i="13"/>
  <c r="H6" i="13"/>
  <c r="E6" i="13"/>
  <c r="D6" i="13"/>
  <c r="C6" i="13"/>
  <c r="A7" i="13" a="1"/>
  <c r="A7" i="13" s="1"/>
  <c r="I5" i="13"/>
  <c r="B9" i="16" l="1" a="1"/>
  <c r="B9" i="16" s="1"/>
  <c r="B10" i="16" s="1" a="1"/>
  <c r="B10" i="16" s="1"/>
  <c r="C22" i="15"/>
  <c r="B22" i="15"/>
  <c r="A23" i="15" a="1"/>
  <c r="A23" i="15" s="1"/>
  <c r="A8" i="13" a="1"/>
  <c r="A8" i="13" s="1"/>
  <c r="I6" i="13"/>
  <c r="H7" i="13"/>
  <c r="B7" i="13"/>
  <c r="G7" i="13"/>
  <c r="F7" i="13"/>
  <c r="E7" i="13"/>
  <c r="I7" i="13" s="1"/>
  <c r="D7" i="13"/>
  <c r="C7" i="13"/>
  <c r="C23" i="15" l="1"/>
  <c r="B23" i="15"/>
  <c r="B11" i="16" a="1"/>
  <c r="B11" i="16" s="1"/>
  <c r="B12" i="16" s="1" a="1"/>
  <c r="B12" i="16" s="1"/>
  <c r="A24" i="15" a="1"/>
  <c r="A24" i="15" s="1"/>
  <c r="H8" i="13"/>
  <c r="B8" i="13"/>
  <c r="G8" i="13"/>
  <c r="F8" i="13"/>
  <c r="E8" i="13"/>
  <c r="D8" i="13"/>
  <c r="C8" i="13"/>
  <c r="A9" i="13" a="1"/>
  <c r="A9" i="13" s="1"/>
  <c r="A25" i="15" l="1" a="1"/>
  <c r="A25" i="15" s="1"/>
  <c r="C24" i="15"/>
  <c r="B24" i="15"/>
  <c r="B13" i="16" a="1"/>
  <c r="B13" i="16" s="1"/>
  <c r="C9" i="13"/>
  <c r="H9" i="13"/>
  <c r="B9" i="13"/>
  <c r="G9" i="13"/>
  <c r="F9" i="13"/>
  <c r="E9" i="13"/>
  <c r="I9" i="13" s="1"/>
  <c r="D9" i="13"/>
  <c r="I8" i="13"/>
  <c r="A10" i="13" a="1"/>
  <c r="A10" i="13" s="1"/>
  <c r="A11" i="13" s="1" a="1"/>
  <c r="A11" i="13" s="1"/>
  <c r="A26" i="15" l="1" a="1"/>
  <c r="A26" i="15" s="1"/>
  <c r="C25" i="15"/>
  <c r="B25" i="15"/>
  <c r="B14" i="16" a="1"/>
  <c r="B14" i="16" s="1"/>
  <c r="A12" i="13" a="1"/>
  <c r="A12" i="13" s="1"/>
  <c r="D11" i="13"/>
  <c r="C11" i="13"/>
  <c r="H11" i="13"/>
  <c r="B11" i="13"/>
  <c r="G11" i="13"/>
  <c r="F11" i="13"/>
  <c r="E11" i="13"/>
  <c r="I11" i="13" s="1"/>
  <c r="C10" i="13"/>
  <c r="H10" i="13"/>
  <c r="B10" i="13"/>
  <c r="G10" i="13"/>
  <c r="D10" i="13"/>
  <c r="F10" i="13"/>
  <c r="E10" i="13"/>
  <c r="I10" i="13" s="1"/>
  <c r="A27" i="15" l="1" a="1"/>
  <c r="A27" i="15" s="1"/>
  <c r="C26" i="15"/>
  <c r="B26" i="15"/>
  <c r="B15" i="16" a="1"/>
  <c r="B15" i="16" s="1"/>
  <c r="B16" i="16" s="1" a="1"/>
  <c r="B16" i="16" s="1"/>
  <c r="B17" i="16" s="1" a="1"/>
  <c r="B17" i="16" s="1"/>
  <c r="B18" i="16" s="1" a="1"/>
  <c r="B18" i="16" s="1"/>
  <c r="B19" i="16" s="1" a="1"/>
  <c r="B19" i="16" s="1"/>
  <c r="B20" i="16" s="1" a="1"/>
  <c r="B20" i="16" s="1"/>
  <c r="B21" i="16" s="1" a="1"/>
  <c r="B21" i="16" s="1"/>
  <c r="B22" i="16" s="1" a="1"/>
  <c r="B22" i="16" s="1"/>
  <c r="B23" i="16" s="1" a="1"/>
  <c r="B23" i="16" s="1"/>
  <c r="B24" i="16" s="1" a="1"/>
  <c r="B24" i="16" s="1"/>
  <c r="B25" i="16" s="1" a="1"/>
  <c r="B25" i="16" s="1"/>
  <c r="B26" i="16" s="1" a="1"/>
  <c r="B26" i="16" s="1"/>
  <c r="B27" i="16" s="1" a="1"/>
  <c r="B27" i="16" s="1"/>
  <c r="B28" i="16" s="1" a="1"/>
  <c r="B28" i="16" s="1"/>
  <c r="B29" i="16" s="1" a="1"/>
  <c r="B29" i="16" s="1"/>
  <c r="B30" i="16" s="1" a="1"/>
  <c r="B30" i="16" s="1"/>
  <c r="B31" i="16" s="1" a="1"/>
  <c r="B31" i="16" s="1"/>
  <c r="B32" i="16" s="1" a="1"/>
  <c r="B32" i="16" s="1"/>
  <c r="B33" i="16" s="1" a="1"/>
  <c r="B33" i="16" s="1"/>
  <c r="B34" i="16" s="1" a="1"/>
  <c r="B34" i="16" s="1"/>
  <c r="B35" i="16" s="1" a="1"/>
  <c r="B35" i="16" s="1"/>
  <c r="B36" i="16" s="1" a="1"/>
  <c r="B36" i="16" s="1"/>
  <c r="B37" i="16" s="1" a="1"/>
  <c r="B37" i="16" s="1"/>
  <c r="B38" i="16" s="1" a="1"/>
  <c r="B38" i="16" s="1"/>
  <c r="B39" i="16" s="1" a="1"/>
  <c r="B39" i="16" s="1"/>
  <c r="B40" i="16" s="1" a="1"/>
  <c r="B40" i="16" s="1"/>
  <c r="B41" i="16" s="1" a="1"/>
  <c r="B41" i="16" s="1"/>
  <c r="A13" i="13" a="1"/>
  <c r="A13" i="13" s="1"/>
  <c r="D12" i="13"/>
  <c r="C12" i="13"/>
  <c r="H12" i="13"/>
  <c r="B12" i="13"/>
  <c r="G12" i="13"/>
  <c r="E12" i="13"/>
  <c r="I12" i="13" s="1"/>
  <c r="F12" i="13"/>
  <c r="B42" i="16" l="1" a="1"/>
  <c r="B42" i="16" s="1"/>
  <c r="B43" i="16" s="1" a="1"/>
  <c r="B43" i="16" s="1"/>
  <c r="B44" i="16" s="1" a="1"/>
  <c r="B44" i="16" s="1"/>
  <c r="B45" i="16" s="1" a="1"/>
  <c r="B45" i="16" s="1"/>
  <c r="B46" i="16" s="1" a="1"/>
  <c r="B46" i="16" s="1"/>
  <c r="B47" i="16" s="1" a="1"/>
  <c r="B47" i="16" s="1"/>
  <c r="B48" i="16" s="1" a="1"/>
  <c r="B48" i="16" s="1"/>
  <c r="B49" i="16" s="1" a="1"/>
  <c r="B49" i="16" s="1"/>
  <c r="B50" i="16" s="1" a="1"/>
  <c r="B50" i="16" s="1"/>
  <c r="B51" i="16" s="1" a="1"/>
  <c r="B51" i="16" s="1"/>
  <c r="B52" i="16" s="1" a="1"/>
  <c r="B52" i="16" s="1"/>
  <c r="B53" i="16" s="1" a="1"/>
  <c r="B53" i="16" s="1"/>
  <c r="B54" i="16" s="1" a="1"/>
  <c r="B54" i="16" s="1"/>
  <c r="B55" i="16" s="1" a="1"/>
  <c r="B55" i="16" s="1"/>
  <c r="B56" i="16" s="1" a="1"/>
  <c r="B56" i="16" s="1"/>
  <c r="B57" i="16" s="1" a="1"/>
  <c r="B57" i="16" s="1"/>
  <c r="B58" i="16" s="1" a="1"/>
  <c r="B58" i="16" s="1"/>
  <c r="B59" i="16" s="1" a="1"/>
  <c r="B59" i="16" s="1"/>
  <c r="B60" i="16" s="1" a="1"/>
  <c r="B60" i="16" s="1"/>
  <c r="B61" i="16" s="1" a="1"/>
  <c r="B61" i="16" s="1"/>
  <c r="B62" i="16" s="1" a="1"/>
  <c r="B62" i="16" s="1"/>
  <c r="B63" i="16" s="1" a="1"/>
  <c r="B63" i="16" s="1"/>
  <c r="B64" i="16" s="1" a="1"/>
  <c r="B64" i="16" s="1"/>
  <c r="B65" i="16" s="1" a="1"/>
  <c r="B65" i="16" s="1"/>
  <c r="B66" i="16" s="1" a="1"/>
  <c r="B66" i="16" s="1"/>
  <c r="B67" i="16" s="1" a="1"/>
  <c r="B67" i="16" s="1"/>
  <c r="B68" i="16" s="1" a="1"/>
  <c r="B68" i="16" s="1"/>
  <c r="B69" i="16" s="1" a="1"/>
  <c r="B69" i="16" s="1"/>
  <c r="B70" i="16" s="1" a="1"/>
  <c r="B70" i="16" s="1"/>
  <c r="B71" i="16" s="1" a="1"/>
  <c r="B71" i="16" s="1"/>
  <c r="B72" i="16" s="1" a="1"/>
  <c r="B72" i="16" s="1"/>
  <c r="B73" i="16" s="1" a="1"/>
  <c r="B73" i="16" s="1"/>
  <c r="B74" i="16" s="1" a="1"/>
  <c r="B74" i="16" s="1"/>
  <c r="B75" i="16" s="1" a="1"/>
  <c r="B75" i="16" s="1"/>
  <c r="B76" i="16" s="1" a="1"/>
  <c r="B76" i="16" s="1"/>
  <c r="B77" i="16" s="1" a="1"/>
  <c r="B77" i="16" s="1"/>
  <c r="B78" i="16" s="1" a="1"/>
  <c r="B78" i="16" s="1"/>
  <c r="B79" i="16" s="1" a="1"/>
  <c r="B79" i="16" s="1"/>
  <c r="B80" i="16" s="1" a="1"/>
  <c r="B80" i="16" s="1"/>
  <c r="B81" i="16" s="1" a="1"/>
  <c r="B81" i="16" s="1"/>
  <c r="B82" i="16" s="1" a="1"/>
  <c r="B82" i="16" s="1"/>
  <c r="B83" i="16" s="1" a="1"/>
  <c r="B83" i="16" s="1"/>
  <c r="B84" i="16" s="1" a="1"/>
  <c r="B84" i="16" s="1"/>
  <c r="B85" i="16" s="1" a="1"/>
  <c r="B85" i="16" s="1"/>
  <c r="B86" i="16" s="1" a="1"/>
  <c r="B86" i="16" s="1"/>
  <c r="B87" i="16" s="1" a="1"/>
  <c r="B87" i="16" s="1"/>
  <c r="B88" i="16" s="1" a="1"/>
  <c r="B88" i="16" s="1"/>
  <c r="B89" i="16" s="1" a="1"/>
  <c r="B89" i="16" s="1"/>
  <c r="B90" i="16" s="1" a="1"/>
  <c r="B90" i="16" s="1"/>
  <c r="B91" i="16" s="1" a="1"/>
  <c r="B91" i="16" s="1"/>
  <c r="B92" i="16" s="1" a="1"/>
  <c r="B92" i="16" s="1"/>
  <c r="B93" i="16" s="1" a="1"/>
  <c r="B93" i="16" s="1"/>
  <c r="B94" i="16" s="1" a="1"/>
  <c r="B94" i="16" s="1"/>
  <c r="B95" i="16" s="1" a="1"/>
  <c r="B95" i="16" s="1"/>
  <c r="B96" i="16" s="1" a="1"/>
  <c r="B96" i="16" s="1"/>
  <c r="B97" i="16" s="1" a="1"/>
  <c r="B97" i="16" s="1"/>
  <c r="B98" i="16" s="1" a="1"/>
  <c r="B98" i="16" s="1"/>
  <c r="B99" i="16" s="1" a="1"/>
  <c r="B99" i="16" s="1"/>
  <c r="B100" i="16" s="1" a="1"/>
  <c r="B100" i="16" s="1"/>
  <c r="B101" i="16" s="1" a="1"/>
  <c r="B101" i="16" s="1"/>
  <c r="B102" i="16" s="1" a="1"/>
  <c r="B102" i="16" s="1"/>
  <c r="B103" i="16" s="1" a="1"/>
  <c r="B103" i="16" s="1"/>
  <c r="B104" i="16" s="1" a="1"/>
  <c r="B104" i="16" s="1"/>
  <c r="B105" i="16" s="1" a="1"/>
  <c r="B105" i="16" s="1"/>
  <c r="B106" i="16" s="1" a="1"/>
  <c r="B106" i="16" s="1"/>
  <c r="B107" i="16" s="1" a="1"/>
  <c r="B107" i="16" s="1"/>
  <c r="B108" i="16" s="1" a="1"/>
  <c r="B108" i="16" s="1"/>
  <c r="B109" i="16" s="1" a="1"/>
  <c r="B109" i="16" s="1"/>
  <c r="B110" i="16" s="1" a="1"/>
  <c r="B110" i="16" s="1"/>
  <c r="B111" i="16" s="1" a="1"/>
  <c r="B111" i="16" s="1"/>
  <c r="B112" i="16" s="1" a="1"/>
  <c r="B112" i="16" s="1"/>
  <c r="B113" i="16" s="1" a="1"/>
  <c r="B113" i="16" s="1"/>
  <c r="B114" i="16" s="1" a="1"/>
  <c r="B114" i="16" s="1"/>
  <c r="B115" i="16" s="1" a="1"/>
  <c r="B115" i="16" s="1"/>
  <c r="B116" i="16" s="1" a="1"/>
  <c r="B116" i="16" s="1"/>
  <c r="B117" i="16" s="1" a="1"/>
  <c r="B117" i="16" s="1"/>
  <c r="B118" i="16" s="1" a="1"/>
  <c r="B118" i="16" s="1"/>
  <c r="B119" i="16" s="1" a="1"/>
  <c r="B119" i="16" s="1"/>
  <c r="B120" i="16" s="1" a="1"/>
  <c r="B120" i="16" s="1"/>
  <c r="B121" i="16" s="1" a="1"/>
  <c r="B121" i="16" s="1"/>
  <c r="B122" i="16" s="1" a="1"/>
  <c r="B122" i="16" s="1"/>
  <c r="B123" i="16" s="1" a="1"/>
  <c r="B123" i="16" s="1"/>
  <c r="B124" i="16" s="1" a="1"/>
  <c r="B124" i="16" s="1"/>
  <c r="B125" i="16" s="1" a="1"/>
  <c r="B125" i="16" s="1"/>
  <c r="B126" i="16" s="1" a="1"/>
  <c r="B126" i="16" s="1"/>
  <c r="B127" i="16" s="1" a="1"/>
  <c r="B127" i="16" s="1"/>
  <c r="B128" i="16" s="1" a="1"/>
  <c r="B128" i="16" s="1"/>
  <c r="B129" i="16" s="1" a="1"/>
  <c r="B129" i="16" s="1"/>
  <c r="B130" i="16" s="1" a="1"/>
  <c r="B130" i="16" s="1"/>
  <c r="B131" i="16" s="1" a="1"/>
  <c r="B131" i="16" s="1"/>
  <c r="B132" i="16" s="1" a="1"/>
  <c r="B132" i="16" s="1"/>
  <c r="B133" i="16" s="1" a="1"/>
  <c r="B133" i="16" s="1"/>
  <c r="B134" i="16" s="1" a="1"/>
  <c r="B134" i="16" s="1"/>
  <c r="B135" i="16" s="1" a="1"/>
  <c r="B135" i="16" s="1"/>
  <c r="B136" i="16" s="1" a="1"/>
  <c r="B136" i="16" s="1"/>
  <c r="B137" i="16" s="1" a="1"/>
  <c r="B137" i="16" s="1"/>
  <c r="B138" i="16" s="1" a="1"/>
  <c r="B138" i="16" s="1"/>
  <c r="B139" i="16" s="1" a="1"/>
  <c r="B139" i="16" s="1"/>
  <c r="B140" i="16" s="1" a="1"/>
  <c r="B140" i="16" s="1"/>
  <c r="B141" i="16" s="1" a="1"/>
  <c r="B141" i="16" s="1"/>
  <c r="B142" i="16" s="1" a="1"/>
  <c r="B142" i="16" s="1"/>
  <c r="B143" i="16" s="1" a="1"/>
  <c r="B143" i="16" s="1"/>
  <c r="B144" i="16" s="1" a="1"/>
  <c r="B144" i="16" s="1"/>
  <c r="B145" i="16" s="1" a="1"/>
  <c r="B145" i="16" s="1"/>
  <c r="B146" i="16" s="1" a="1"/>
  <c r="B146" i="16" s="1"/>
  <c r="B147" i="16" s="1" a="1"/>
  <c r="B147" i="16" s="1"/>
  <c r="B148" i="16" s="1" a="1"/>
  <c r="B148" i="16" s="1"/>
  <c r="B149" i="16" s="1" a="1"/>
  <c r="B149" i="16" s="1"/>
  <c r="B150" i="16" s="1" a="1"/>
  <c r="B150" i="16" s="1"/>
  <c r="B151" i="16" s="1" a="1"/>
  <c r="B151" i="16" s="1"/>
  <c r="B152" i="16" s="1" a="1"/>
  <c r="B152" i="16" s="1"/>
  <c r="B153" i="16" s="1" a="1"/>
  <c r="B153" i="16" s="1"/>
  <c r="B154" i="16" s="1" a="1"/>
  <c r="B154" i="16" s="1"/>
  <c r="B155" i="16" s="1" a="1"/>
  <c r="B155" i="16" s="1"/>
  <c r="B156" i="16" s="1" a="1"/>
  <c r="B156" i="16" s="1"/>
  <c r="B157" i="16" s="1" a="1"/>
  <c r="B157" i="16" s="1"/>
  <c r="B158" i="16" s="1" a="1"/>
  <c r="B158" i="16" s="1"/>
  <c r="B159" i="16" s="1" a="1"/>
  <c r="B159" i="16" s="1"/>
  <c r="B160" i="16" s="1" a="1"/>
  <c r="B160" i="16" s="1"/>
  <c r="B161" i="16" s="1" a="1"/>
  <c r="B161" i="16" s="1"/>
  <c r="B162" i="16" s="1" a="1"/>
  <c r="B162" i="16" s="1"/>
  <c r="B163" i="16" s="1" a="1"/>
  <c r="B163" i="16" s="1"/>
  <c r="B164" i="16" s="1" a="1"/>
  <c r="B164" i="16" s="1"/>
  <c r="B165" i="16" s="1" a="1"/>
  <c r="B165" i="16" s="1"/>
  <c r="B166" i="16" s="1" a="1"/>
  <c r="B166" i="16" s="1"/>
  <c r="B167" i="16" s="1" a="1"/>
  <c r="B167" i="16" s="1"/>
  <c r="B168" i="16" s="1" a="1"/>
  <c r="B168" i="16" s="1"/>
  <c r="B169" i="16" s="1" a="1"/>
  <c r="B169" i="16" s="1"/>
  <c r="B170" i="16" s="1" a="1"/>
  <c r="B170" i="16" s="1"/>
  <c r="B171" i="16" s="1" a="1"/>
  <c r="B171" i="16" s="1"/>
  <c r="B172" i="16" s="1" a="1"/>
  <c r="B172" i="16" s="1"/>
  <c r="B173" i="16" s="1" a="1"/>
  <c r="B173" i="16" s="1"/>
  <c r="B174" i="16" s="1" a="1"/>
  <c r="B174" i="16" s="1"/>
  <c r="B175" i="16" s="1" a="1"/>
  <c r="B175" i="16" s="1"/>
  <c r="B176" i="16" s="1" a="1"/>
  <c r="B176" i="16" s="1"/>
  <c r="B177" i="16" s="1" a="1"/>
  <c r="B177" i="16" s="1"/>
  <c r="B178" i="16" s="1" a="1"/>
  <c r="B178" i="16" s="1"/>
  <c r="B179" i="16" s="1" a="1"/>
  <c r="B179" i="16" s="1"/>
  <c r="B180" i="16" s="1" a="1"/>
  <c r="B180" i="16" s="1"/>
  <c r="B181" i="16" s="1" a="1"/>
  <c r="B181" i="16" s="1"/>
  <c r="B182" i="16" s="1" a="1"/>
  <c r="B182" i="16" s="1"/>
  <c r="B183" i="16" s="1" a="1"/>
  <c r="B183" i="16" s="1"/>
  <c r="B184" i="16" s="1" a="1"/>
  <c r="B184" i="16" s="1"/>
  <c r="B185" i="16" s="1" a="1"/>
  <c r="B185" i="16" s="1"/>
  <c r="B186" i="16" s="1" a="1"/>
  <c r="B186" i="16" s="1"/>
  <c r="B187" i="16" s="1" a="1"/>
  <c r="B187" i="16" s="1"/>
  <c r="B188" i="16" s="1" a="1"/>
  <c r="B188" i="16" s="1"/>
  <c r="B189" i="16" s="1" a="1"/>
  <c r="B189" i="16" s="1"/>
  <c r="B190" i="16" s="1" a="1"/>
  <c r="B190" i="16" s="1"/>
  <c r="B191" i="16" s="1" a="1"/>
  <c r="B191" i="16" s="1"/>
  <c r="B192" i="16" s="1" a="1"/>
  <c r="B192" i="16" s="1"/>
  <c r="B193" i="16" s="1" a="1"/>
  <c r="B193" i="16" s="1"/>
  <c r="B194" i="16" s="1" a="1"/>
  <c r="B194" i="16" s="1"/>
  <c r="B195" i="16" s="1" a="1"/>
  <c r="B195" i="16" s="1"/>
  <c r="B196" i="16" s="1" a="1"/>
  <c r="B196" i="16" s="1"/>
  <c r="B197" i="16" s="1" a="1"/>
  <c r="B197" i="16" s="1"/>
  <c r="B198" i="16" s="1" a="1"/>
  <c r="B198" i="16" s="1"/>
  <c r="B199" i="16" s="1" a="1"/>
  <c r="B199" i="16" s="1"/>
  <c r="B200" i="16" s="1" a="1"/>
  <c r="B200" i="16" s="1"/>
  <c r="B201" i="16" s="1" a="1"/>
  <c r="B201" i="16" s="1"/>
  <c r="B202" i="16" s="1" a="1"/>
  <c r="B202" i="16" s="1"/>
  <c r="B203" i="16" s="1" a="1"/>
  <c r="B203" i="16" s="1"/>
  <c r="B204" i="16" s="1" a="1"/>
  <c r="B204" i="16" s="1"/>
  <c r="B205" i="16" s="1" a="1"/>
  <c r="B205" i="16" s="1"/>
  <c r="B206" i="16" s="1" a="1"/>
  <c r="B206" i="16" s="1"/>
  <c r="B207" i="16" s="1" a="1"/>
  <c r="B207" i="16" s="1"/>
  <c r="B208" i="16" s="1" a="1"/>
  <c r="B208" i="16" s="1"/>
  <c r="B209" i="16" s="1" a="1"/>
  <c r="B209" i="16" s="1"/>
  <c r="B210" i="16" s="1" a="1"/>
  <c r="B210" i="16" s="1"/>
  <c r="B211" i="16" s="1" a="1"/>
  <c r="B211" i="16" s="1"/>
  <c r="B212" i="16" s="1" a="1"/>
  <c r="B212" i="16" s="1"/>
  <c r="B213" i="16" s="1" a="1"/>
  <c r="B213" i="16" s="1"/>
  <c r="B214" i="16" s="1" a="1"/>
  <c r="B214" i="16" s="1"/>
  <c r="B215" i="16" s="1" a="1"/>
  <c r="B215" i="16" s="1"/>
  <c r="B216" i="16" s="1" a="1"/>
  <c r="B216" i="16" s="1"/>
  <c r="B217" i="16" s="1" a="1"/>
  <c r="B217" i="16" s="1"/>
  <c r="B218" i="16" s="1" a="1"/>
  <c r="B218" i="16" s="1"/>
  <c r="B219" i="16" s="1" a="1"/>
  <c r="B219" i="16" s="1"/>
  <c r="B220" i="16" s="1" a="1"/>
  <c r="B220" i="16" s="1"/>
  <c r="B221" i="16" s="1" a="1"/>
  <c r="B221" i="16" s="1"/>
  <c r="B222" i="16" s="1" a="1"/>
  <c r="B222" i="16" s="1"/>
  <c r="B223" i="16" s="1" a="1"/>
  <c r="B223" i="16" s="1"/>
  <c r="B224" i="16" s="1" a="1"/>
  <c r="B224" i="16" s="1"/>
  <c r="B225" i="16" s="1" a="1"/>
  <c r="B225" i="16" s="1"/>
  <c r="B226" i="16" s="1" a="1"/>
  <c r="B226" i="16" s="1"/>
  <c r="B227" i="16" s="1" a="1"/>
  <c r="B227" i="16" s="1"/>
  <c r="B228" i="16" s="1" a="1"/>
  <c r="B228" i="16" s="1"/>
  <c r="B229" i="16" s="1" a="1"/>
  <c r="B229" i="16" s="1"/>
  <c r="B230" i="16" s="1" a="1"/>
  <c r="B230" i="16" s="1"/>
  <c r="B231" i="16" s="1" a="1"/>
  <c r="B231" i="16" s="1"/>
  <c r="B232" i="16" s="1" a="1"/>
  <c r="B232" i="16" s="1"/>
  <c r="B233" i="16" s="1" a="1"/>
  <c r="B233" i="16" s="1"/>
  <c r="B234" i="16" s="1" a="1"/>
  <c r="B234" i="16" s="1"/>
  <c r="B235" i="16" s="1" a="1"/>
  <c r="B235" i="16" s="1"/>
  <c r="B236" i="16" s="1" a="1"/>
  <c r="B236" i="16" s="1"/>
  <c r="B237" i="16" s="1" a="1"/>
  <c r="B237" i="16" s="1"/>
  <c r="B238" i="16" s="1" a="1"/>
  <c r="B238" i="16" s="1"/>
  <c r="B239" i="16" s="1" a="1"/>
  <c r="B239" i="16" s="1"/>
  <c r="B240" i="16" s="1" a="1"/>
  <c r="B240" i="16" s="1"/>
  <c r="B241" i="16" s="1" a="1"/>
  <c r="B241" i="16" s="1"/>
  <c r="B242" i="16" s="1" a="1"/>
  <c r="B242" i="16" s="1"/>
  <c r="B243" i="16" s="1" a="1"/>
  <c r="B243" i="16" s="1"/>
  <c r="B244" i="16" s="1" a="1"/>
  <c r="B244" i="16" s="1"/>
  <c r="B245" i="16" s="1" a="1"/>
  <c r="B245" i="16" s="1"/>
  <c r="B246" i="16" s="1" a="1"/>
  <c r="B246" i="16" s="1"/>
  <c r="B247" i="16" s="1" a="1"/>
  <c r="B247" i="16" s="1"/>
  <c r="B248" i="16" s="1" a="1"/>
  <c r="B248" i="16" s="1"/>
  <c r="B249" i="16" s="1" a="1"/>
  <c r="B249" i="16" s="1"/>
  <c r="B250" i="16" s="1" a="1"/>
  <c r="B250" i="16" s="1"/>
  <c r="B251" i="16" s="1" a="1"/>
  <c r="B251" i="16" s="1"/>
  <c r="C60" i="16"/>
  <c r="C97" i="16"/>
  <c r="C119" i="16"/>
  <c r="C68" i="16"/>
  <c r="C128" i="16"/>
  <c r="C236" i="16"/>
  <c r="C42" i="16"/>
  <c r="C98" i="16"/>
  <c r="C78" i="16"/>
  <c r="C152" i="16"/>
  <c r="C174" i="16"/>
  <c r="C43" i="16"/>
  <c r="C35" i="16"/>
  <c r="C235" i="16"/>
  <c r="C175" i="16"/>
  <c r="C90" i="16"/>
  <c r="C27" i="16"/>
  <c r="C131" i="16"/>
  <c r="C104" i="16"/>
  <c r="C214" i="16"/>
  <c r="C193" i="16"/>
  <c r="C176" i="16"/>
  <c r="C192" i="16"/>
  <c r="C56" i="16"/>
  <c r="C67" i="16"/>
  <c r="C66" i="16"/>
  <c r="C58" i="16"/>
  <c r="C167" i="16"/>
  <c r="C246" i="16"/>
  <c r="C117" i="16"/>
  <c r="C64" i="16"/>
  <c r="C112" i="16"/>
  <c r="C187" i="16"/>
  <c r="C157" i="16"/>
  <c r="C17" i="16"/>
  <c r="C4" i="16"/>
  <c r="C230" i="16"/>
  <c r="C57" i="16"/>
  <c r="C223" i="16"/>
  <c r="C51" i="16"/>
  <c r="C168" i="16"/>
  <c r="C183" i="16"/>
  <c r="C190" i="16"/>
  <c r="C40" i="16"/>
  <c r="C215" i="16"/>
  <c r="C84" i="16"/>
  <c r="C191" i="16"/>
  <c r="C188" i="16"/>
  <c r="C247" i="16"/>
  <c r="C170" i="16"/>
  <c r="C218" i="16"/>
  <c r="C173" i="16"/>
  <c r="C52" i="16"/>
  <c r="C63" i="16"/>
  <c r="C83" i="16"/>
  <c r="C229" i="16"/>
  <c r="C30" i="16"/>
  <c r="C224" i="16"/>
  <c r="C135" i="16"/>
  <c r="C99" i="16"/>
  <c r="C88" i="16"/>
  <c r="C62" i="16"/>
  <c r="C65" i="16"/>
  <c r="C244" i="16"/>
  <c r="C161" i="16"/>
  <c r="C205" i="16"/>
  <c r="C38" i="16"/>
  <c r="C82" i="16"/>
  <c r="C21" i="16"/>
  <c r="C232" i="16"/>
  <c r="C127" i="16"/>
  <c r="C159" i="16"/>
  <c r="C115" i="16"/>
  <c r="C11" i="16"/>
  <c r="C146" i="16"/>
  <c r="C144" i="16"/>
  <c r="C37" i="16"/>
  <c r="C110" i="16"/>
  <c r="C100" i="16"/>
  <c r="C50" i="16"/>
  <c r="C121" i="16"/>
  <c r="C147" i="16"/>
  <c r="C39" i="16"/>
  <c r="C32" i="16"/>
  <c r="C199" i="16"/>
  <c r="C238" i="16"/>
  <c r="C122" i="16"/>
  <c r="C94" i="16"/>
  <c r="C80" i="16"/>
  <c r="C137" i="16"/>
  <c r="C139" i="16"/>
  <c r="C160" i="16"/>
  <c r="C162" i="16"/>
  <c r="C59" i="16"/>
  <c r="C76" i="16"/>
  <c r="C79" i="16"/>
  <c r="C243" i="16"/>
  <c r="C13" i="16"/>
  <c r="C123" i="16"/>
  <c r="C85" i="16"/>
  <c r="C74" i="16"/>
  <c r="C138" i="16"/>
  <c r="C75" i="16"/>
  <c r="C19" i="16"/>
  <c r="C251" i="16"/>
  <c r="C210" i="16"/>
  <c r="C86" i="16"/>
  <c r="C141" i="16"/>
  <c r="C151" i="16"/>
  <c r="C207" i="16"/>
  <c r="C87" i="16"/>
  <c r="C220" i="16"/>
  <c r="C227" i="16"/>
  <c r="C158" i="16"/>
  <c r="C114" i="16"/>
  <c r="C107" i="16"/>
  <c r="C23" i="16"/>
  <c r="C20" i="16"/>
  <c r="C15" i="16"/>
  <c r="C111" i="16"/>
  <c r="C163" i="16"/>
  <c r="C142" i="16"/>
  <c r="C233" i="16"/>
  <c r="C196" i="16"/>
  <c r="C109" i="16"/>
  <c r="C208" i="16"/>
  <c r="C10" i="16"/>
  <c r="C26" i="16"/>
  <c r="C145" i="16"/>
  <c r="C148" i="16"/>
  <c r="C203" i="16"/>
  <c r="C53" i="16"/>
  <c r="C172" i="16"/>
  <c r="C96" i="16"/>
  <c r="C130" i="16"/>
  <c r="C69" i="16"/>
  <c r="C178" i="16"/>
  <c r="C126" i="16"/>
  <c r="C239" i="16"/>
  <c r="C7" i="16"/>
  <c r="C143" i="16"/>
  <c r="C89" i="16"/>
  <c r="C248" i="16"/>
  <c r="C234" i="16"/>
  <c r="C194" i="16"/>
  <c r="C132" i="16"/>
  <c r="C28" i="16"/>
  <c r="C95" i="16"/>
  <c r="C179" i="16"/>
  <c r="C155" i="16"/>
  <c r="C2" i="16"/>
  <c r="C222" i="16"/>
  <c r="C6" i="16"/>
  <c r="C184" i="16"/>
  <c r="C189" i="16"/>
  <c r="C3" i="16"/>
  <c r="C91" i="16"/>
  <c r="C31" i="16"/>
  <c r="C47" i="16"/>
  <c r="C209" i="16"/>
  <c r="C16" i="16"/>
  <c r="C206" i="16"/>
  <c r="C71" i="16"/>
  <c r="C195" i="16"/>
  <c r="C200" i="16"/>
  <c r="C140" i="16"/>
  <c r="C49" i="16"/>
  <c r="C219" i="16"/>
  <c r="C18" i="16"/>
  <c r="C211" i="16"/>
  <c r="C102" i="16"/>
  <c r="C113" i="16"/>
  <c r="C216" i="16"/>
  <c r="C221" i="16"/>
  <c r="C153" i="16"/>
  <c r="C181" i="16"/>
  <c r="C249" i="16"/>
  <c r="C198" i="16"/>
  <c r="C106" i="16"/>
  <c r="C55" i="16"/>
  <c r="C105" i="16"/>
  <c r="C41" i="16"/>
  <c r="C33" i="16"/>
  <c r="C45" i="16"/>
  <c r="C22" i="16"/>
  <c r="C120" i="16"/>
  <c r="C231" i="16"/>
  <c r="C116" i="16"/>
  <c r="C165" i="16"/>
  <c r="C134" i="16"/>
  <c r="C24" i="16"/>
  <c r="C217" i="16"/>
  <c r="C34" i="16"/>
  <c r="C226" i="16"/>
  <c r="C129" i="16"/>
  <c r="C93" i="16"/>
  <c r="D2" i="16" a="1"/>
  <c r="D2" i="16" s="1"/>
  <c r="C46" i="16"/>
  <c r="C81" i="16"/>
  <c r="C14" i="16"/>
  <c r="C156" i="16"/>
  <c r="C177" i="16"/>
  <c r="C118" i="16"/>
  <c r="C240" i="16"/>
  <c r="C182" i="16"/>
  <c r="C228" i="16"/>
  <c r="C9" i="16"/>
  <c r="C54" i="16"/>
  <c r="C92" i="16"/>
  <c r="C12" i="16"/>
  <c r="C164" i="16"/>
  <c r="C150" i="16"/>
  <c r="C245" i="16"/>
  <c r="C101" i="16"/>
  <c r="C61" i="16"/>
  <c r="C204" i="16"/>
  <c r="C77" i="16"/>
  <c r="C136" i="16"/>
  <c r="C70" i="16"/>
  <c r="C201" i="16"/>
  <c r="C186" i="16"/>
  <c r="C133" i="16"/>
  <c r="C44" i="16"/>
  <c r="C108" i="16"/>
  <c r="C250" i="16"/>
  <c r="C202" i="16"/>
  <c r="C237" i="16"/>
  <c r="C169" i="16"/>
  <c r="C73" i="16"/>
  <c r="C212" i="16"/>
  <c r="C48" i="16"/>
  <c r="C241" i="16"/>
  <c r="C171" i="16"/>
  <c r="C124" i="16"/>
  <c r="C125" i="16"/>
  <c r="C166" i="16"/>
  <c r="C36" i="16"/>
  <c r="C242" i="16"/>
  <c r="C213" i="16"/>
  <c r="C25" i="16"/>
  <c r="C225" i="16"/>
  <c r="C29" i="16"/>
  <c r="C180" i="16"/>
  <c r="C103" i="16"/>
  <c r="C149" i="16"/>
  <c r="C185" i="16"/>
  <c r="C5" i="16"/>
  <c r="C154" i="16"/>
  <c r="C8" i="16"/>
  <c r="C197" i="16"/>
  <c r="C72" i="16"/>
  <c r="A28" i="15" a="1"/>
  <c r="A28" i="15" s="1"/>
  <c r="B27" i="15"/>
  <c r="C27" i="15"/>
  <c r="A14" i="13" a="1"/>
  <c r="A14" i="13" s="1"/>
  <c r="E13" i="13"/>
  <c r="I13" i="13" s="1"/>
  <c r="D13" i="13"/>
  <c r="C13" i="13"/>
  <c r="H13" i="13"/>
  <c r="B13" i="13"/>
  <c r="G13" i="13"/>
  <c r="F13" i="13"/>
  <c r="A29" i="15" l="1" a="1"/>
  <c r="A29" i="15" s="1"/>
  <c r="B28" i="15"/>
  <c r="C28" i="15"/>
  <c r="A15" i="13" a="1"/>
  <c r="A15" i="13" s="1"/>
  <c r="E14" i="13"/>
  <c r="I14" i="13" s="1"/>
  <c r="D14" i="13"/>
  <c r="C14" i="13"/>
  <c r="H14" i="13"/>
  <c r="B14" i="13"/>
  <c r="G14" i="13"/>
  <c r="F14" i="13"/>
  <c r="A30" i="15" l="1" a="1"/>
  <c r="A30" i="15" s="1"/>
  <c r="C29" i="15"/>
  <c r="B29" i="15"/>
  <c r="A16" i="13" a="1"/>
  <c r="A16" i="13" s="1"/>
  <c r="F15" i="13"/>
  <c r="E15" i="13"/>
  <c r="D15" i="13"/>
  <c r="I15" i="13"/>
  <c r="C15" i="13"/>
  <c r="H15" i="13"/>
  <c r="B15" i="13"/>
  <c r="G15" i="13"/>
  <c r="A31" i="15" l="1" a="1"/>
  <c r="A31" i="15" s="1"/>
  <c r="B30" i="15"/>
  <c r="C30" i="15"/>
  <c r="A17" i="13" a="1"/>
  <c r="A17" i="13" s="1"/>
  <c r="F16" i="13"/>
  <c r="E16" i="13"/>
  <c r="I16" i="13" s="1"/>
  <c r="D16" i="13"/>
  <c r="G16" i="13"/>
  <c r="C16" i="13"/>
  <c r="H16" i="13"/>
  <c r="B16" i="13"/>
  <c r="A32" i="15" l="1" a="1"/>
  <c r="A32" i="15" s="1"/>
  <c r="B31" i="15"/>
  <c r="C31" i="15"/>
  <c r="A18" i="13" a="1"/>
  <c r="A18" i="13" s="1"/>
  <c r="G17" i="13"/>
  <c r="F17" i="13"/>
  <c r="E17" i="13"/>
  <c r="I17" i="13" s="1"/>
  <c r="D17" i="13"/>
  <c r="C17" i="13"/>
  <c r="B17" i="13"/>
  <c r="H17" i="13"/>
  <c r="A33" i="15" l="1" a="1"/>
  <c r="A33" i="15" s="1"/>
  <c r="C32" i="15"/>
  <c r="B32" i="15"/>
  <c r="A19" i="13" a="1"/>
  <c r="A19" i="13" s="1"/>
  <c r="B18" i="13"/>
  <c r="G18" i="13"/>
  <c r="F18" i="13"/>
  <c r="E18" i="13"/>
  <c r="I18" i="13" s="1"/>
  <c r="D18" i="13"/>
  <c r="H18" i="13"/>
  <c r="C18" i="13"/>
  <c r="A34" i="15" l="1" a="1"/>
  <c r="A34" i="15" s="1"/>
  <c r="C33" i="15"/>
  <c r="B33" i="15"/>
  <c r="A20" i="13" a="1"/>
  <c r="A20" i="13" s="1"/>
  <c r="H19" i="13"/>
  <c r="B19" i="13"/>
  <c r="G19" i="13"/>
  <c r="F19" i="13"/>
  <c r="E19" i="13"/>
  <c r="I19" i="13" s="1"/>
  <c r="D19" i="13"/>
  <c r="C19" i="13"/>
  <c r="A35" i="15" l="1" a="1"/>
  <c r="A35" i="15" s="1"/>
  <c r="C34" i="15"/>
  <c r="B34" i="15"/>
  <c r="A21" i="13" a="1"/>
  <c r="A21" i="13" s="1"/>
  <c r="H20" i="13"/>
  <c r="B20" i="13"/>
  <c r="G20" i="13"/>
  <c r="F20" i="13"/>
  <c r="C20" i="13"/>
  <c r="E20" i="13"/>
  <c r="I20" i="13" s="1"/>
  <c r="D20" i="13"/>
  <c r="A36" i="15" l="1" a="1"/>
  <c r="A36" i="15" s="1"/>
  <c r="C35" i="15"/>
  <c r="B35" i="15"/>
  <c r="A22" i="13" a="1"/>
  <c r="A22" i="13" s="1"/>
  <c r="C21" i="13"/>
  <c r="H21" i="13"/>
  <c r="B21" i="13"/>
  <c r="G21" i="13"/>
  <c r="F21" i="13"/>
  <c r="E21" i="13"/>
  <c r="I21" i="13" s="1"/>
  <c r="D21" i="13"/>
  <c r="A37" i="15" l="1" a="1"/>
  <c r="A37" i="15" s="1"/>
  <c r="C36" i="15"/>
  <c r="B36" i="15"/>
  <c r="A23" i="13" a="1"/>
  <c r="A23" i="13" s="1"/>
  <c r="C22" i="13"/>
  <c r="H22" i="13"/>
  <c r="B22" i="13"/>
  <c r="G22" i="13"/>
  <c r="D22" i="13"/>
  <c r="F22" i="13"/>
  <c r="E22" i="13"/>
  <c r="I22" i="13" s="1"/>
  <c r="A38" i="15" l="1" a="1"/>
  <c r="A38" i="15" s="1"/>
  <c r="C37" i="15"/>
  <c r="B37" i="15"/>
  <c r="A24" i="13" a="1"/>
  <c r="A24" i="13" s="1"/>
  <c r="D23" i="13"/>
  <c r="C23" i="13"/>
  <c r="H23" i="13"/>
  <c r="B23" i="13"/>
  <c r="G23" i="13"/>
  <c r="F23" i="13"/>
  <c r="E23" i="13"/>
  <c r="I23" i="13" s="1"/>
  <c r="A39" i="15" l="1" a="1"/>
  <c r="A39" i="15" s="1"/>
  <c r="C38" i="15"/>
  <c r="B38" i="15"/>
  <c r="A25" i="13" a="1"/>
  <c r="A25" i="13" s="1"/>
  <c r="D24" i="13"/>
  <c r="C24" i="13"/>
  <c r="H24" i="13"/>
  <c r="E24" i="13"/>
  <c r="I24" i="13" s="1"/>
  <c r="B24" i="13"/>
  <c r="G24" i="13"/>
  <c r="F24" i="13"/>
  <c r="A40" i="15" l="1" a="1"/>
  <c r="A40" i="15" s="1"/>
  <c r="B39" i="15"/>
  <c r="C39" i="15"/>
  <c r="A26" i="13" a="1"/>
  <c r="A26" i="13" s="1"/>
  <c r="E25" i="13"/>
  <c r="I25" i="13" s="1"/>
  <c r="D25" i="13"/>
  <c r="C25" i="13"/>
  <c r="B25" i="13"/>
  <c r="H25" i="13"/>
  <c r="G25" i="13"/>
  <c r="F25" i="13"/>
  <c r="A41" i="15" l="1" a="1"/>
  <c r="A41" i="15" s="1"/>
  <c r="B40" i="15"/>
  <c r="C40" i="15"/>
  <c r="A27" i="13" a="1"/>
  <c r="A27" i="13" s="1"/>
  <c r="E26" i="13"/>
  <c r="I26" i="13" s="1"/>
  <c r="D26" i="13"/>
  <c r="C26" i="13"/>
  <c r="H26" i="13"/>
  <c r="F26" i="13"/>
  <c r="B26" i="13"/>
  <c r="G26" i="13"/>
  <c r="A42" i="15" l="1" a="1"/>
  <c r="A42" i="15" s="1"/>
  <c r="C41" i="15"/>
  <c r="B41" i="15"/>
  <c r="A28" i="13" a="1"/>
  <c r="A28" i="13" s="1"/>
  <c r="F27" i="13"/>
  <c r="E27" i="13"/>
  <c r="I27" i="13" s="1"/>
  <c r="D27" i="13"/>
  <c r="C27" i="13"/>
  <c r="H27" i="13"/>
  <c r="B27" i="13"/>
  <c r="G27" i="13"/>
  <c r="A43" i="15" l="1" a="1"/>
  <c r="A43" i="15" s="1"/>
  <c r="B42" i="15"/>
  <c r="C42" i="15"/>
  <c r="A29" i="13" a="1"/>
  <c r="A29" i="13" s="1"/>
  <c r="F28" i="13"/>
  <c r="E28" i="13"/>
  <c r="I28" i="13" s="1"/>
  <c r="D28" i="13"/>
  <c r="C28" i="13"/>
  <c r="G28" i="13"/>
  <c r="H28" i="13"/>
  <c r="B28" i="13"/>
  <c r="A44" i="15" l="1" a="1"/>
  <c r="A44" i="15" s="1"/>
  <c r="B43" i="15"/>
  <c r="C43" i="15"/>
  <c r="A30" i="13" a="1"/>
  <c r="A30" i="13" s="1"/>
  <c r="G29" i="13"/>
  <c r="F29" i="13"/>
  <c r="E29" i="13"/>
  <c r="I29" i="13" s="1"/>
  <c r="D29" i="13"/>
  <c r="C29" i="13"/>
  <c r="B29" i="13"/>
  <c r="H29" i="13"/>
  <c r="A45" i="15" l="1" a="1"/>
  <c r="A45" i="15" s="1"/>
  <c r="C44" i="15"/>
  <c r="B44" i="15"/>
  <c r="A31" i="13" a="1"/>
  <c r="A31" i="13" s="1"/>
  <c r="B30" i="13"/>
  <c r="G30" i="13"/>
  <c r="F30" i="13"/>
  <c r="E30" i="13"/>
  <c r="I30" i="13" s="1"/>
  <c r="D30" i="13"/>
  <c r="H30" i="13"/>
  <c r="C30" i="13"/>
  <c r="A46" i="15" l="1" a="1"/>
  <c r="A46" i="15" s="1"/>
  <c r="C45" i="15"/>
  <c r="B45" i="15"/>
  <c r="A32" i="13" a="1"/>
  <c r="A32" i="13" s="1"/>
  <c r="H31" i="13"/>
  <c r="B31" i="13"/>
  <c r="G31" i="13"/>
  <c r="F31" i="13"/>
  <c r="E31" i="13"/>
  <c r="I31" i="13" s="1"/>
  <c r="D31" i="13"/>
  <c r="C31" i="13"/>
  <c r="A47" i="15" l="1" a="1"/>
  <c r="A47" i="15" s="1"/>
  <c r="C46" i="15"/>
  <c r="B46" i="15"/>
  <c r="A33" i="13" a="1"/>
  <c r="A33" i="13" s="1"/>
  <c r="H32" i="13"/>
  <c r="B32" i="13"/>
  <c r="G32" i="13"/>
  <c r="C32" i="13"/>
  <c r="F32" i="13"/>
  <c r="E32" i="13"/>
  <c r="I32" i="13" s="1"/>
  <c r="D32" i="13"/>
  <c r="A48" i="15" l="1" a="1"/>
  <c r="A48" i="15" s="1"/>
  <c r="C47" i="15"/>
  <c r="B47" i="15"/>
  <c r="A34" i="13" a="1"/>
  <c r="A34" i="13" s="1"/>
  <c r="C33" i="13"/>
  <c r="H33" i="13"/>
  <c r="B33" i="13"/>
  <c r="G33" i="13"/>
  <c r="F33" i="13"/>
  <c r="E33" i="13"/>
  <c r="I33" i="13" s="1"/>
  <c r="D33" i="13"/>
  <c r="A49" i="15" l="1" a="1"/>
  <c r="A49" i="15" s="1"/>
  <c r="C48" i="15"/>
  <c r="B48" i="15"/>
  <c r="A35" i="13" a="1"/>
  <c r="A35" i="13" s="1"/>
  <c r="C34" i="13"/>
  <c r="H34" i="13"/>
  <c r="B34" i="13"/>
  <c r="G34" i="13"/>
  <c r="F34" i="13"/>
  <c r="D34" i="13"/>
  <c r="E34" i="13"/>
  <c r="I34" i="13" s="1"/>
  <c r="A50" i="15" l="1" a="1"/>
  <c r="A50" i="15" s="1"/>
  <c r="C49" i="15"/>
  <c r="B49" i="15"/>
  <c r="A36" i="13" a="1"/>
  <c r="A36" i="13" s="1"/>
  <c r="D35" i="13"/>
  <c r="C35" i="13"/>
  <c r="H35" i="13"/>
  <c r="B35" i="13"/>
  <c r="G35" i="13"/>
  <c r="F35" i="13"/>
  <c r="E35" i="13"/>
  <c r="I35" i="13" s="1"/>
  <c r="A51" i="15" l="1" a="1"/>
  <c r="A51" i="15" s="1"/>
  <c r="C50" i="15"/>
  <c r="B50" i="15"/>
  <c r="A37" i="13" a="1"/>
  <c r="A37" i="13" s="1"/>
  <c r="D36" i="13"/>
  <c r="C36" i="13"/>
  <c r="H36" i="13"/>
  <c r="B36" i="13"/>
  <c r="G36" i="13"/>
  <c r="F36" i="13"/>
  <c r="E36" i="13"/>
  <c r="I36" i="13" s="1"/>
  <c r="A52" i="15" l="1" a="1"/>
  <c r="A52" i="15" s="1"/>
  <c r="B51" i="15"/>
  <c r="C51" i="15"/>
  <c r="A38" i="13" a="1"/>
  <c r="A38" i="13" s="1"/>
  <c r="E37" i="13"/>
  <c r="I37" i="13" s="1"/>
  <c r="D37" i="13"/>
  <c r="C37" i="13"/>
  <c r="H37" i="13"/>
  <c r="B37" i="13"/>
  <c r="G37" i="13"/>
  <c r="F37" i="13"/>
  <c r="A53" i="15" l="1" a="1"/>
  <c r="A53" i="15" s="1"/>
  <c r="B52" i="15"/>
  <c r="C52" i="15"/>
  <c r="A39" i="13" a="1"/>
  <c r="A39" i="13" s="1"/>
  <c r="E38" i="13"/>
  <c r="I38" i="13" s="1"/>
  <c r="D38" i="13"/>
  <c r="C38" i="13"/>
  <c r="F38" i="13"/>
  <c r="H38" i="13"/>
  <c r="B38" i="13"/>
  <c r="G38" i="13"/>
  <c r="A54" i="15" l="1" a="1"/>
  <c r="A54" i="15" s="1"/>
  <c r="C53" i="15"/>
  <c r="B53" i="15"/>
  <c r="A40" i="13" a="1"/>
  <c r="A40" i="13" s="1"/>
  <c r="F39" i="13"/>
  <c r="E39" i="13"/>
  <c r="I39" i="13" s="1"/>
  <c r="D39" i="13"/>
  <c r="C39" i="13"/>
  <c r="H39" i="13"/>
  <c r="B39" i="13"/>
  <c r="G39" i="13"/>
  <c r="A55" i="15" l="1" a="1"/>
  <c r="A55" i="15" s="1"/>
  <c r="B54" i="15"/>
  <c r="C54" i="15"/>
  <c r="A41" i="13" a="1"/>
  <c r="A41" i="13" s="1"/>
  <c r="F40" i="13"/>
  <c r="E40" i="13"/>
  <c r="I40" i="13" s="1"/>
  <c r="D40" i="13"/>
  <c r="C40" i="13"/>
  <c r="G40" i="13"/>
  <c r="H40" i="13"/>
  <c r="B40" i="13"/>
  <c r="A56" i="15" l="1" a="1"/>
  <c r="A56" i="15" s="1"/>
  <c r="B55" i="15"/>
  <c r="C55" i="15"/>
  <c r="A42" i="13" a="1"/>
  <c r="A42" i="13" s="1"/>
  <c r="G41" i="13"/>
  <c r="F41" i="13"/>
  <c r="E41" i="13"/>
  <c r="I41" i="13" s="1"/>
  <c r="B41" i="13"/>
  <c r="D41" i="13"/>
  <c r="C41" i="13"/>
  <c r="H41" i="13"/>
  <c r="A57" i="15" l="1" a="1"/>
  <c r="A57" i="15" s="1"/>
  <c r="C56" i="15"/>
  <c r="B56" i="15"/>
  <c r="A43" i="13" a="1"/>
  <c r="A43" i="13" s="1"/>
  <c r="B42" i="13"/>
  <c r="G42" i="13"/>
  <c r="F42" i="13"/>
  <c r="E42" i="13"/>
  <c r="I42" i="13" s="1"/>
  <c r="D42" i="13"/>
  <c r="H42" i="13"/>
  <c r="C42" i="13"/>
  <c r="A58" i="15" l="1" a="1"/>
  <c r="A58" i="15" s="1"/>
  <c r="C57" i="15"/>
  <c r="B57" i="15"/>
  <c r="A44" i="13" a="1"/>
  <c r="A44" i="13" s="1"/>
  <c r="H43" i="13"/>
  <c r="B43" i="13"/>
  <c r="G43" i="13"/>
  <c r="F43" i="13"/>
  <c r="E43" i="13"/>
  <c r="I43" i="13" s="1"/>
  <c r="D43" i="13"/>
  <c r="C43" i="13"/>
  <c r="A59" i="15" l="1" a="1"/>
  <c r="A59" i="15" s="1"/>
  <c r="C58" i="15"/>
  <c r="B58" i="15"/>
  <c r="A45" i="13" a="1"/>
  <c r="A45" i="13" s="1"/>
  <c r="H44" i="13"/>
  <c r="C44" i="13"/>
  <c r="B44" i="13"/>
  <c r="G44" i="13"/>
  <c r="F44" i="13"/>
  <c r="E44" i="13"/>
  <c r="I44" i="13" s="1"/>
  <c r="D44" i="13"/>
  <c r="A60" i="15" l="1" a="1"/>
  <c r="A60" i="15" s="1"/>
  <c r="C59" i="15"/>
  <c r="B59" i="15"/>
  <c r="A46" i="13" a="1"/>
  <c r="A46" i="13" s="1"/>
  <c r="C45" i="13"/>
  <c r="H45" i="13"/>
  <c r="B45" i="13"/>
  <c r="G45" i="13"/>
  <c r="F45" i="13"/>
  <c r="E45" i="13"/>
  <c r="I45" i="13" s="1"/>
  <c r="D45" i="13"/>
  <c r="A61" i="15" l="1" a="1"/>
  <c r="A61" i="15" s="1"/>
  <c r="C60" i="15"/>
  <c r="B60" i="15"/>
  <c r="A47" i="13" a="1"/>
  <c r="A47" i="13" s="1"/>
  <c r="C46" i="13"/>
  <c r="H46" i="13"/>
  <c r="B46" i="13"/>
  <c r="G46" i="13"/>
  <c r="F46" i="13"/>
  <c r="D46" i="13"/>
  <c r="E46" i="13"/>
  <c r="I46" i="13" s="1"/>
  <c r="A62" i="15" l="1" a="1"/>
  <c r="A62" i="15" s="1"/>
  <c r="C61" i="15"/>
  <c r="B61" i="15"/>
  <c r="A48" i="13" a="1"/>
  <c r="A48" i="13" s="1"/>
  <c r="D47" i="13"/>
  <c r="C47" i="13"/>
  <c r="H47" i="13"/>
  <c r="B47" i="13"/>
  <c r="G47" i="13"/>
  <c r="F47" i="13"/>
  <c r="E47" i="13"/>
  <c r="I47" i="13" s="1"/>
  <c r="A63" i="15" l="1" a="1"/>
  <c r="A63" i="15" s="1"/>
  <c r="C62" i="15"/>
  <c r="B62" i="15"/>
  <c r="A49" i="13" a="1"/>
  <c r="A49" i="13" s="1"/>
  <c r="D48" i="13"/>
  <c r="E48" i="13"/>
  <c r="I48" i="13" s="1"/>
  <c r="C48" i="13"/>
  <c r="H48" i="13"/>
  <c r="B48" i="13"/>
  <c r="G48" i="13"/>
  <c r="F48" i="13"/>
  <c r="A64" i="15" l="1" a="1"/>
  <c r="A64" i="15" s="1"/>
  <c r="B63" i="15"/>
  <c r="C63" i="15"/>
  <c r="A50" i="13" a="1"/>
  <c r="A50" i="13" s="1"/>
  <c r="E49" i="13"/>
  <c r="I49" i="13" s="1"/>
  <c r="D49" i="13"/>
  <c r="C49" i="13"/>
  <c r="H49" i="13"/>
  <c r="B49" i="13"/>
  <c r="G49" i="13"/>
  <c r="F49" i="13"/>
  <c r="B64" i="15" l="1"/>
  <c r="C64" i="15"/>
  <c r="A51" i="13" a="1"/>
  <c r="A51" i="13" s="1"/>
  <c r="E50" i="13"/>
  <c r="I50" i="13" s="1"/>
  <c r="D50" i="13"/>
  <c r="C50" i="13"/>
  <c r="H50" i="13"/>
  <c r="B50" i="13"/>
  <c r="F50" i="13"/>
  <c r="G50" i="13"/>
  <c r="H11" i="15" l="1"/>
  <c r="H10" i="15"/>
  <c r="H12" i="15" s="1"/>
  <c r="F51" i="13"/>
  <c r="E51" i="13"/>
  <c r="I51" i="13" s="1"/>
  <c r="D51" i="13"/>
  <c r="C51" i="13"/>
  <c r="H51" i="13"/>
  <c r="B51" i="13"/>
  <c r="G51" i="13"/>
  <c r="L2" i="13"/>
  <c r="L3" i="13" l="1"/>
  <c r="L4" i="13"/>
  <c r="L5" i="13"/>
  <c r="P8" i="13"/>
  <c r="O2" i="13"/>
  <c r="P7" i="13"/>
  <c r="P10" i="13"/>
  <c r="P3" i="13"/>
  <c r="O6" i="13"/>
  <c r="O4" i="13"/>
  <c r="L8" i="13"/>
  <c r="B21" i="19" s="1"/>
  <c r="L6" i="13"/>
  <c r="L9" i="13"/>
  <c r="B22" i="19" s="1"/>
  <c r="P9" i="13"/>
  <c r="O11" i="13"/>
  <c r="P4" i="13"/>
  <c r="O5" i="13"/>
  <c r="O10" i="13"/>
  <c r="O7" i="13"/>
  <c r="P11" i="13"/>
  <c r="O8" i="13"/>
  <c r="P6" i="13"/>
  <c r="L11" i="13"/>
  <c r="P2" i="13"/>
  <c r="P5" i="13"/>
  <c r="L7" i="13"/>
  <c r="L10" i="13"/>
  <c r="O3" i="13"/>
  <c r="O9"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<sst xmlns="http://schemas.openxmlformats.org/spreadsheetml/2006/main" count="4934" uniqueCount="674">
  <si>
    <t>PR. Final Project - "Data Intelligence Dashboard"</t>
  </si>
  <si>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</si>
  <si>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</si>
  <si>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</si>
  <si>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</si>
  <si>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</si>
  <si>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</si>
  <si>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</si>
  <si>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</si>
  <si>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</si>
  <si>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</si>
  <si>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</si>
  <si>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</si>
  <si>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</si>
  <si>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</si>
  <si>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</si>
  <si>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</si>
  <si>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</si>
  <si>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</si>
  <si>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</si>
  <si>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</si>
  <si>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</si>
  <si>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</si>
  <si>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</si>
  <si>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</si>
  <si>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</si>
  <si>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</si>
  <si>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</si>
  <si>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</si>
  <si>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</si>
  <si>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</si>
  <si>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</si>
  <si>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</si>
  <si>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</si>
  <si>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</si>
  <si>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</si>
  <si>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</si>
  <si>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</si>
  <si>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</si>
  <si>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</si>
  <si>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</si>
  <si>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</si>
  <si>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</si>
  <si>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</si>
  <si>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</si>
  <si>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</si>
  <si>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</si>
  <si>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</si>
  <si>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</si>
  <si>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</si>
  <si>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</si>
  <si>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</si>
  <si>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</si>
  <si>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</si>
  <si>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</si>
  <si>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</si>
  <si>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</si>
  <si>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</si>
  <si>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</si>
  <si>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</si>
  <si>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</si>
  <si>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</si>
  <si>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</si>
  <si>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</si>
  <si>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</si>
  <si>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</si>
  <si>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</si>
  <si>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</si>
  <si>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</si>
  <si>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</si>
  <si>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</si>
  <si>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</si>
  <si>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</si>
  <si>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</si>
  <si>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</si>
  <si>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</si>
  <si>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</si>
  <si>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</si>
  <si>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</si>
  <si>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</si>
  <si>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</si>
  <si>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</si>
  <si>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</si>
  <si>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</si>
  <si>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</si>
  <si>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</si>
  <si>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</si>
  <si>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</si>
  <si>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</si>
  <si>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</si>
  <si>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</si>
  <si>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</si>
  <si>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</si>
  <si>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</si>
  <si>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</si>
  <si>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</si>
  <si>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</si>
  <si>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</si>
  <si>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</si>
  <si>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</si>
  <si>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</si>
  <si>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</si>
  <si>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</si>
  <si>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</si>
  <si>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</si>
  <si>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</si>
  <si>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</si>
  <si>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</si>
  <si>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</si>
  <si>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</si>
  <si>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</si>
  <si>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</si>
  <si>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</si>
  <si>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</si>
  <si>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</si>
  <si>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</si>
  <si>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</si>
  <si>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</si>
  <si>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</si>
  <si>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</si>
  <si>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</si>
  <si>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</si>
  <si>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</si>
  <si>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</si>
  <si>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</si>
  <si>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</si>
  <si>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</si>
  <si>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</si>
  <si>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</si>
  <si>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</si>
  <si>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</si>
  <si>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</si>
  <si>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</si>
  <si>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</si>
  <si>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</si>
  <si>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</si>
  <si>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</si>
  <si>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</si>
  <si>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</si>
  <si>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</si>
  <si>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</si>
  <si>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</si>
  <si>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</si>
  <si>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</si>
  <si>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</si>
  <si>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</si>
  <si>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</si>
  <si>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</si>
  <si>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</si>
  <si>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</si>
  <si>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</si>
  <si>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</si>
  <si>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</si>
  <si>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</si>
  <si>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</si>
  <si>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</si>
  <si>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</si>
  <si>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</si>
  <si>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</si>
  <si>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</si>
  <si>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</si>
  <si>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</si>
  <si>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</si>
  <si>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</si>
  <si>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</si>
  <si>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</si>
  <si>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</si>
  <si>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</si>
  <si>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</si>
  <si>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</si>
  <si>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</si>
  <si>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</si>
  <si>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</si>
  <si>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</si>
  <si>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</si>
  <si>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</si>
  <si>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</si>
  <si>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</si>
  <si>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</si>
  <si>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</si>
  <si>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</si>
  <si>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</si>
  <si>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</si>
  <si>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</si>
  <si>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</si>
  <si>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</si>
  <si>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</si>
  <si>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</si>
  <si>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</si>
  <si>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</si>
  <si>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</si>
  <si>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</si>
  <si>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</si>
  <si>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</si>
  <si>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</si>
  <si>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</si>
  <si>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</si>
  <si>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</si>
  <si>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</si>
  <si>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</si>
  <si>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</si>
  <si>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</si>
  <si>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</si>
  <si>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</si>
  <si>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</si>
  <si>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</si>
  <si>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</si>
  <si>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</si>
  <si>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</si>
  <si>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</si>
  <si>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</si>
  <si>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</si>
  <si>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</si>
  <si>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</si>
  <si>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</si>
  <si>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</si>
  <si>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</si>
  <si>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</si>
  <si>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</si>
  <si>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</si>
  <si>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</si>
  <si>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</si>
  <si>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</si>
  <si>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</si>
  <si>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</si>
  <si>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</si>
  <si>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</si>
  <si>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</si>
  <si>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</si>
  <si>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</si>
  <si>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</si>
  <si>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</si>
  <si>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</si>
  <si>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</si>
  <si>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</si>
  <si>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</si>
  <si>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</si>
  <si>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</si>
  <si>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</si>
  <si>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</si>
  <si>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</si>
  <si>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</si>
  <si>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</si>
  <si>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</si>
  <si>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</si>
  <si>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</si>
  <si>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</si>
  <si>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</si>
  <si>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</si>
  <si>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</si>
  <si>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</si>
  <si>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</si>
  <si>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</si>
  <si>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</si>
  <si>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</si>
  <si>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</si>
  <si>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</si>
  <si>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</si>
  <si>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</si>
  <si>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</si>
  <si>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</si>
  <si>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</si>
  <si>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</si>
  <si>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</si>
  <si>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</si>
  <si>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</si>
  <si>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</si>
  <si>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</si>
  <si>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</si>
  <si>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</si>
  <si>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</si>
  <si>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</si>
  <si>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</si>
  <si>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</si>
  <si>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</si>
  <si>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</si>
  <si>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</si>
  <si>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</si>
  <si>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</si>
  <si>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</si>
  <si>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</si>
  <si>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</si>
  <si>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</si>
  <si>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</si>
  <si>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</si>
  <si>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</si>
  <si>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</si>
  <si>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</si>
  <si>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</si>
  <si>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</si>
  <si>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</si>
  <si>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</si>
  <si>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</si>
  <si>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</si>
  <si>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</si>
  <si>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</si>
  <si>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</si>
  <si>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</si>
  <si>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</si>
  <si>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</si>
  <si>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</si>
  <si>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</si>
  <si>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</si>
  <si>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</si>
  <si>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</si>
  <si>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</si>
  <si>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</si>
  <si>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</si>
  <si>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</si>
  <si>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</si>
  <si>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</si>
  <si>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</si>
  <si>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</si>
  <si>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</si>
  <si>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</si>
  <si>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</si>
  <si>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</si>
  <si>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</si>
  <si>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</si>
  <si>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</si>
  <si>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</si>
  <si>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</si>
  <si>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</si>
  <si>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</si>
  <si>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</si>
  <si>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</si>
  <si>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</si>
  <si>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</si>
  <si>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</si>
  <si>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</si>
  <si>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</si>
  <si>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</si>
  <si>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</si>
  <si>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</si>
  <si>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</si>
  <si>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</si>
  <si>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</si>
  <si>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</si>
  <si>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</si>
  <si>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</si>
  <si>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</si>
  <si>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</si>
  <si>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</si>
  <si>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</si>
  <si>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</si>
  <si>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</si>
  <si>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</si>
  <si>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</si>
  <si>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</si>
  <si>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</si>
  <si>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</si>
  <si>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</si>
  <si>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</si>
  <si>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</si>
  <si>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</si>
  <si>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</si>
  <si>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</si>
  <si>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</si>
  <si>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</si>
  <si>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</si>
  <si>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</si>
  <si>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</si>
  <si>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</si>
  <si>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</si>
  <si>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</si>
  <si>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</si>
  <si>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</si>
  <si>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</si>
  <si>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</si>
  <si>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</si>
  <si>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</si>
  <si>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</si>
  <si>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</si>
  <si>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</si>
  <si>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</si>
  <si>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</si>
  <si>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</si>
  <si>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</si>
  <si>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</si>
  <si>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</si>
  <si>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</si>
  <si>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</si>
  <si>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</si>
  <si>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</si>
  <si>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</si>
  <si>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</si>
  <si>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</si>
  <si>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</si>
  <si>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</si>
  <si>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</si>
  <si>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</si>
  <si>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</si>
  <si>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</si>
  <si>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</si>
  <si>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</si>
  <si>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</si>
  <si>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</si>
  <si>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</si>
  <si>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</si>
  <si>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</si>
  <si>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r>
      <t xml:space="preserve">Dataset: </t>
    </r>
    <r>
      <rPr>
        <sz val="11"/>
        <color theme="1"/>
        <rFont val="Calibri"/>
        <family val="2"/>
        <scheme val="minor"/>
      </rPr>
      <t>Use the 'Final Project Dataset' sheet containing 200+ records of customer transactions.</t>
    </r>
  </si>
  <si>
    <t xml:space="preserve">Objective: </t>
  </si>
  <si>
    <t>Create a full-fledged analysis and reporting solution using Excel to analyze customer transactions, find insights,</t>
  </si>
  <si>
    <t>and build visualizations and dashboards.</t>
  </si>
  <si>
    <t>Key Topics to Implement:</t>
  </si>
  <si>
    <t>- Date &amp; Time Functions: TODAY, NOW, DATEDIF, EOMONTH</t>
  </si>
  <si>
    <t>- FILTER Function for multi-value returns</t>
  </si>
  <si>
    <t>- Conditional Formatting with Icons/Arrows</t>
  </si>
  <si>
    <t>- Create Timestamp (using NOW and iterative calculations)</t>
  </si>
  <si>
    <t>- Linear Regression using Data Analysis Toolpak</t>
  </si>
  <si>
    <t>- Use GroupBy concepts to find High-Value Customers using formulas</t>
  </si>
  <si>
    <t>- Pivot Tables</t>
  </si>
  <si>
    <t>- Pivot Charts (Bar, Line, Pie)</t>
  </si>
  <si>
    <t>- Slicers and Timelines</t>
  </si>
  <si>
    <t>- KPI Indicators with Conditional Formatting</t>
  </si>
  <si>
    <t>- Create Abbreviations using TEXT functions</t>
  </si>
  <si>
    <t>- Build a final report with insights and storytelling</t>
  </si>
  <si>
    <t>Deliverable:</t>
  </si>
  <si>
    <t>- Well-structured workbook with multiple sheets (Raw Data, Analysis, Visualizations, Dashboard)</t>
  </si>
  <si>
    <t>- Summary Insights with key metrics: Total Revenue, Top Customers, Most Sold Products, Regional Sales</t>
  </si>
  <si>
    <t>- Use of all required formulas and functions as listed above</t>
  </si>
  <si>
    <t>Function</t>
  </si>
  <si>
    <t>Formula</t>
  </si>
  <si>
    <t>Result</t>
  </si>
  <si>
    <t>TODAY</t>
  </si>
  <si>
    <t>NOW</t>
  </si>
  <si>
    <t>Current Year</t>
  </si>
  <si>
    <t>Current Month</t>
  </si>
  <si>
    <t>Formatted Date</t>
  </si>
  <si>
    <t>Formatted Time</t>
  </si>
  <si>
    <t>Description</t>
  </si>
  <si>
    <t>End of Current Month</t>
  </si>
  <si>
    <t>End of Next Month</t>
  </si>
  <si>
    <t>End of Previous Month</t>
  </si>
  <si>
    <t>Start of Current Month</t>
  </si>
  <si>
    <t>Days Left in Month</t>
  </si>
  <si>
    <t>Last Transaction Month End</t>
  </si>
  <si>
    <t>First Transaction Month End</t>
  </si>
  <si>
    <t>Txn_ID</t>
  </si>
  <si>
    <t>Txn_Date</t>
  </si>
  <si>
    <t>Today</t>
  </si>
  <si>
    <t>Days Since Txn</t>
  </si>
  <si>
    <t>Months Since</t>
  </si>
  <si>
    <t>End of Txn Month</t>
  </si>
  <si>
    <t>Year</t>
  </si>
  <si>
    <t>Month Name</t>
  </si>
  <si>
    <t>DATEDIF</t>
  </si>
  <si>
    <t>DATEDIF Months</t>
  </si>
  <si>
    <t xml:space="preserve">  DATEDIF Days</t>
  </si>
  <si>
    <t>DATEDIF Year and Months</t>
  </si>
  <si>
    <t>Filter 1: Electronics Category</t>
  </si>
  <si>
    <t>Filter 2: Premium Customers</t>
  </si>
  <si>
    <t>a</t>
  </si>
  <si>
    <t>Color</t>
  </si>
  <si>
    <t>Conditional</t>
  </si>
  <si>
    <t xml:space="preserve">Green </t>
  </si>
  <si>
    <t>Total Amount &gt; 2000</t>
  </si>
  <si>
    <t>High Value Transactions</t>
  </si>
  <si>
    <t>Category = Electronics</t>
  </si>
  <si>
    <t xml:space="preserve"> Yellow</t>
  </si>
  <si>
    <t>Customer Segment = Standard</t>
  </si>
  <si>
    <t>Red/Pink</t>
  </si>
  <si>
    <t>Customer Segment = Basic</t>
  </si>
  <si>
    <t>Top 10 Total Amount</t>
  </si>
  <si>
    <t>No Color</t>
  </si>
  <si>
    <t>Category = Furniture/Appliances &amp; Segment =Premium</t>
  </si>
  <si>
    <t>Electronics Products</t>
  </si>
  <si>
    <t>Standard Customers</t>
  </si>
  <si>
    <t>Basic Customers</t>
  </si>
  <si>
    <t>Highest 10 Transactions</t>
  </si>
  <si>
    <t xml:space="preserve"> PremiumOther Categories</t>
  </si>
  <si>
    <t xml:space="preserve"> Purple</t>
  </si>
  <si>
    <t xml:space="preserve"> Light Green</t>
  </si>
  <si>
    <t>Meaning</t>
  </si>
  <si>
    <t>Entry_Timestamp</t>
  </si>
  <si>
    <t>Last_Modified</t>
  </si>
  <si>
    <t>Days_Since_Entry</t>
  </si>
  <si>
    <t>What-If Analysis - Scenario Manager</t>
  </si>
  <si>
    <t>Discount %</t>
  </si>
  <si>
    <t>Tax %</t>
  </si>
  <si>
    <t>Total Revenue</t>
  </si>
  <si>
    <t>$B$5</t>
  </si>
  <si>
    <t>$B$6</t>
  </si>
  <si>
    <t>$B$7</t>
  </si>
  <si>
    <t>Best Case</t>
  </si>
  <si>
    <t>Created by Mukesh Kote on 26-05-2026</t>
  </si>
  <si>
    <t>Worst Case</t>
  </si>
  <si>
    <t>Base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</si>
  <si>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</si>
  <si>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</si>
  <si>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</si>
  <si>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</si>
  <si>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</si>
  <si>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</si>
  <si>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</si>
  <si>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Goal Seek Analysis</t>
  </si>
  <si>
    <t>Target Revenue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</si>
  <si>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</si>
  <si>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</si>
  <si>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</si>
  <si>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</si>
  <si>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</si>
  <si>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</si>
  <si>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</si>
  <si>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</si>
  <si>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</si>
  <si>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</si>
  <si>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</si>
  <si>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</si>
  <si>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</si>
  <si>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</si>
  <si>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</si>
  <si>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</si>
  <si>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</si>
  <si>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</si>
  <si>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</si>
  <si>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</si>
  <si>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</si>
  <si>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</si>
  <si>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</si>
  <si>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</si>
  <si>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</si>
  <si>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</si>
  <si>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749.97</t>
  </si>
  <si>
    <t>Residuals</t>
  </si>
  <si>
    <t>Standard Residuals</t>
  </si>
  <si>
    <t>Data Analysis &amp; Storytelling from the Dataset</t>
  </si>
  <si>
    <t>Total Transactions</t>
  </si>
  <si>
    <t>Sales Overview</t>
  </si>
  <si>
    <t>Average Order Value</t>
  </si>
  <si>
    <t>Max Order Value</t>
  </si>
  <si>
    <t>Min Order Value</t>
  </si>
  <si>
    <t>Total Customers</t>
  </si>
  <si>
    <t>Category Analysis</t>
  </si>
  <si>
    <t>Segment Analysis</t>
  </si>
  <si>
    <t>Payment Analysis</t>
  </si>
  <si>
    <t>Product Analysis</t>
  </si>
  <si>
    <t>Top Product</t>
  </si>
  <si>
    <t xml:space="preserve"> Key Insights</t>
  </si>
  <si>
    <t>Best Selling Category</t>
  </si>
  <si>
    <t>Best Region</t>
  </si>
  <si>
    <t>Best Segment</t>
  </si>
  <si>
    <t>Most Used Payment</t>
  </si>
  <si>
    <t>Best Product</t>
  </si>
  <si>
    <r>
      <t xml:space="preserve"> </t>
    </r>
    <r>
      <rPr>
        <b/>
        <sz val="12"/>
        <color theme="1"/>
        <rFont val="Calibri"/>
        <family val="2"/>
        <scheme val="minor"/>
      </rPr>
      <t>Region Analysis</t>
    </r>
  </si>
  <si>
    <t>Total_Purchases</t>
  </si>
  <si>
    <t>Avg_Amount</t>
  </si>
  <si>
    <t>Max_Amount</t>
  </si>
  <si>
    <t>Min_Amount</t>
  </si>
  <si>
    <t>Value_Category</t>
  </si>
  <si>
    <t>GroupBy Summary</t>
  </si>
  <si>
    <t>High Value Customers</t>
  </si>
  <si>
    <t>Medium Value Customers</t>
  </si>
  <si>
    <t>Low Value Customers</t>
  </si>
  <si>
    <t>Avg Revenue per Customer</t>
  </si>
  <si>
    <t>Top Customer</t>
  </si>
  <si>
    <t>Top Customer Amount</t>
  </si>
  <si>
    <t>Lowest Customer</t>
  </si>
  <si>
    <t>Lowest Customer Amount</t>
  </si>
  <si>
    <t>Rank</t>
  </si>
  <si>
    <t xml:space="preserve"> Create Dashboard using</t>
  </si>
  <si>
    <t xml:space="preserve"> Find most frequently purchased product or repeating names using formulas</t>
  </si>
  <si>
    <t>Count</t>
  </si>
  <si>
    <t>Key Results</t>
  </si>
  <si>
    <t>Most Purchased Product</t>
  </si>
  <si>
    <t>Most Purchased Count</t>
  </si>
  <si>
    <t>Least Purchased Product</t>
  </si>
  <si>
    <t>Least Purchased Count</t>
  </si>
  <si>
    <t>Highest Revenue Product</t>
  </si>
  <si>
    <t>Highest Revenue Amount</t>
  </si>
  <si>
    <t>Most Expensive Avg Product</t>
  </si>
  <si>
    <t>Repeating Customers</t>
  </si>
  <si>
    <t>Repeat Count</t>
  </si>
  <si>
    <t>Total Spent</t>
  </si>
  <si>
    <t>Most Frequent Customer</t>
  </si>
  <si>
    <t>Visit Count</t>
  </si>
  <si>
    <t>Compare two lists and extract matching names in a new column</t>
  </si>
  <si>
    <t>List 1 - Customer Names</t>
  </si>
  <si>
    <t>List 2 - Premium Customers</t>
  </si>
  <si>
    <t>Match Found</t>
  </si>
  <si>
    <t>Matching Names</t>
  </si>
  <si>
    <t>First_Name</t>
  </si>
  <si>
    <t>Last_Name</t>
  </si>
  <si>
    <t>Initials</t>
  </si>
  <si>
    <t>Short_Name</t>
  </si>
  <si>
    <t>Upper_Case</t>
  </si>
  <si>
    <t>Lower_Case</t>
  </si>
  <si>
    <t>Proper_Case</t>
  </si>
  <si>
    <t>Name_Length</t>
  </si>
  <si>
    <t>Category_Abbr</t>
  </si>
  <si>
    <t>Region_Abbr</t>
  </si>
  <si>
    <t>Segment_Abbr</t>
  </si>
  <si>
    <t>Payment_Abbr</t>
  </si>
  <si>
    <t>Total Names</t>
  </si>
  <si>
    <t>Avg Name Length</t>
  </si>
  <si>
    <t>Longest Name</t>
  </si>
  <si>
    <t>Shortest Name</t>
  </si>
  <si>
    <t>ELEC Count</t>
  </si>
  <si>
    <t>FURN Count</t>
  </si>
  <si>
    <t>APPL Count</t>
  </si>
  <si>
    <t>Abbreviation Summary</t>
  </si>
  <si>
    <t>FINAL SALES REPORT — 2024-2025</t>
  </si>
  <si>
    <t>Date:</t>
  </si>
  <si>
    <t xml:space="preserve">Prepared by: </t>
  </si>
  <si>
    <t>Mukesh  Kote</t>
  </si>
  <si>
    <t>Total Records:</t>
  </si>
  <si>
    <t xml:space="preserve"> EXECUTIVE SUMMARY</t>
  </si>
  <si>
    <t>Highest Order Value</t>
  </si>
  <si>
    <t>Lowest Order Value</t>
  </si>
  <si>
    <t>Total Unique Customers</t>
  </si>
  <si>
    <t>Date Range From</t>
  </si>
  <si>
    <t>Date Range To</t>
  </si>
  <si>
    <t>CATEGORY INSIGHTS</t>
  </si>
  <si>
    <t>Electronics Revenue</t>
  </si>
  <si>
    <t>Furniture Revenue</t>
  </si>
  <si>
    <t>Appliances Revenue</t>
  </si>
  <si>
    <t>Best Category</t>
  </si>
  <si>
    <t>Electronics %</t>
  </si>
  <si>
    <t>Furniture %</t>
  </si>
  <si>
    <t>Appliances %</t>
  </si>
  <si>
    <t>REGION INSIGHTS</t>
  </si>
  <si>
    <t>North Revenue</t>
  </si>
  <si>
    <t>South Revenue</t>
  </si>
  <si>
    <t>East Revenue</t>
  </si>
  <si>
    <t>Central Revenue</t>
  </si>
  <si>
    <t>Worst Region</t>
  </si>
  <si>
    <t>West Revenue</t>
  </si>
  <si>
    <t>CUSTOMER INSIGHTS</t>
  </si>
  <si>
    <t>Premium Revenue</t>
  </si>
  <si>
    <t>Standard Revenue</t>
  </si>
  <si>
    <t>Basic Revenue</t>
  </si>
  <si>
    <t>PRODUCT INSIGHTS</t>
  </si>
  <si>
    <t>Best Product Count</t>
  </si>
  <si>
    <t>Least Product</t>
  </si>
  <si>
    <t>Least Product Count</t>
  </si>
  <si>
    <t>PAYMENT INSIGHTS</t>
  </si>
  <si>
    <t>Cash Transactions</t>
  </si>
  <si>
    <t>Credit Card Transactions</t>
  </si>
  <si>
    <t>Debit Card Transactions</t>
  </si>
  <si>
    <t>PayPal Transactions</t>
  </si>
  <si>
    <t>STORY &amp; KEY INSIGHTS</t>
  </si>
  <si>
    <t>1. BEST PERFORMING CATEGORY</t>
  </si>
  <si>
    <t>2. TOP REGION</t>
  </si>
  <si>
    <t>3. CUSTOMER BEHAVIOR</t>
  </si>
  <si>
    <t>4. POPULAR PAYMENT</t>
  </si>
  <si>
    <t>5. BEST PRODUCT</t>
  </si>
  <si>
    <t>RECOMMENDATIONS</t>
  </si>
  <si>
    <t>1. Focus more on Electronics category as it generates highest revenue</t>
  </si>
  <si>
    <t>2. Target Premium customers for high value deals</t>
  </si>
  <si>
    <t>3. Expand operations in best performing region</t>
  </si>
  <si>
    <t>4. Promote Credit Card payments for better tracking</t>
  </si>
  <si>
    <t>5. Stock more of the best selling products</t>
  </si>
  <si>
    <t>Grand Total</t>
  </si>
  <si>
    <t>Sum of Total_Amount</t>
  </si>
  <si>
    <t>Years (Date)</t>
  </si>
  <si>
    <t>Months (Date)</t>
  </si>
  <si>
    <t>Jan</t>
  </si>
  <si>
    <t>Feb</t>
  </si>
  <si>
    <t>Mar</t>
  </si>
  <si>
    <t>Apr</t>
  </si>
  <si>
    <t>May</t>
  </si>
  <si>
    <t>Jun</t>
  </si>
  <si>
    <t>Jul</t>
  </si>
  <si>
    <t>Aug</t>
  </si>
  <si>
    <t>Sep</t>
  </si>
  <si>
    <t>Oct</t>
  </si>
  <si>
    <t>Nov</t>
  </si>
  <si>
    <t>Dec</t>
  </si>
  <si>
    <t>Required Revenue</t>
  </si>
  <si>
    <t>Total Orders</t>
  </si>
  <si>
    <t>Avg Order Value</t>
  </si>
  <si>
    <t>s</t>
  </si>
  <si>
    <t xml:space="preserve"> WHAT-IF Analysis: Scenario Manager, Goal Seek</t>
  </si>
  <si>
    <t>Apex Product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</si>
</sst>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dd/mmm/yyyy\ hh\:mm"/>
    <numFmt numFmtId="166" formatCode="&quot;₹&quot;\ #,##0.00;[Red]&quot;₹&quot;\ #,##0.00"/>
    <numFmt numFmtId="167" formatCode="0.00;[Red]0.00"/>
    <numFmt numFmtId="168" formatCode="&quot;₹&quot;\ #,##0;[Red]&quot;₹&quot;\ #,##0"/>
  </numFmts>
  <fonts count="33">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scheme val="minor"/>
    </font>
    <font>
      <b/>
      <sz val="11"/>
      <color theme="1"/>
      <name val="Calibri"/>
      <scheme val="minor"/>
    </font>
    <font>
      <b/>
      <sz val="11"/>
      <color theme="1"/>
      <name val="Calibri"/>
      <family val="2"/>
      <scheme val="minor"/>
    </font>
    <font>
      <b/>
      <sz val="11"/>
      <color rgb="FF367526"/>
      <name val="Calibri"/>
      <family val="2"/>
      <scheme val="minor"/>
    </font>
    <font>
      <sz val="11"/>
      <color rgb="FF38761D"/>
      <name val="Calibri"/>
      <family val="2"/>
      <scheme val="minor"/>
    </font>
    <font>
      <b/>
      <sz val="12"/>
      <color theme="1"/>
      <name val="Calibri"/>
      <family val="2"/>
      <scheme val="minor"/>
    </font>
    <font>
      <sz val="10"/>
      <color theme="1"/>
      <name val="Arial Unicode MS"/>
    </font>
    <font>
      <b/>
      <sz val="10"/>
      <color theme="1"/>
      <name val="Arial Unicode MS"/>
    </font>
    <font>
      <b/>
      <sz val="12"/>
      <color theme="1"/>
      <name val="Arial Unicode MS"/>
    </font>
    <font>
      <b/>
      <sz val="12"/>
      <color theme="1"/>
      <name val="Calibri"/>
      <family val="2"/>
      <scheme val="major"/>
    </font>
    <font>
      <b/>
      <sz val="11"/>
      <color theme="1"/>
      <name val="Calibri"/>
      <family val="2"/>
      <scheme val="major"/>
    </font>
    <font>
      <b/>
      <sz val="16"/>
      <color theme="1"/>
      <name val="Calibri"/>
      <family val="2"/>
      <scheme val="minor"/>
    </font>
    <font>
      <sz val="10"/>
      <color theme="1"/>
      <name val="Calibri"/>
      <family val="2"/>
      <scheme val="major"/>
    </font>
    <font>
      <sz val="10"/>
      <color theme="1"/>
      <name val="Calibri"/>
      <family val="2"/>
      <scheme val="minor"/>
    </font>
    <font>
      <sz val="11"/>
      <color rgb="FFB90000"/>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
      <sz val="72"/>
      <color theme="0"/>
      <name val="Impact"/>
      <family val="2"/>
    </font>
    <font>
      <sz val="72"/>
      <color theme="1"/>
      <name val="Impact"/>
      <family val="2"/>
    </font>
    <font>
      <sz val="48"/>
      <color rgb="FFE84C22"/>
      <name val="Calibri"/>
      <family val="2"/>
      <scheme val="minor"/>
    </font>
    <font>
      <sz val="28"/>
      <color theme="0"/>
      <name val="Calibri"/>
      <family val="2"/>
      <scheme val="minor"/>
    </font>
  </fonts>
  <fills count="13">
    <fill>
      <patternFill patternType="none"/>
    </fill>
    <fill>
      <patternFill patternType="gray125"/>
    </fill>
    <fill>
      <patternFill patternType="solid">
        <fgColor rgb="FFFFF2CC"/>
        <bgColor indexed="64"/>
      </patternFill>
    </fill>
    <fill>
      <patternFill patternType="solid">
        <fgColor rgb="FFAAE571"/>
        <bgColor indexed="64"/>
      </patternFill>
    </fill>
    <fill>
      <patternFill patternType="solid">
        <fgColor theme="7" tint="0.39997558519241921"/>
        <bgColor indexed="64"/>
      </patternFill>
    </fill>
    <fill>
      <patternFill patternType="solid">
        <fgColor rgb="FFFFFF99"/>
        <bgColor indexed="64"/>
      </patternFill>
    </fill>
    <fill>
      <patternFill patternType="solid">
        <fgColor rgb="FFFFC6C6"/>
        <bgColor indexed="64"/>
      </patternFill>
    </fill>
    <fill>
      <patternFill patternType="solid">
        <fgColor rgb="FF99FFCC"/>
        <bgColor indexed="64"/>
      </patternFill>
    </fill>
    <fill>
      <patternFill patternType="solid">
        <fgColor theme="0" tint="-0.249977111117893"/>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4" tint="-0.499984740745262"/>
        <bgColor indexed="64"/>
      </patternFill>
    </fill>
  </fills>
  <borders count="31">
    <border>
      <left/>
      <right/>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medium">
        <color indexed="64"/>
      </top>
      <bottom/>
      <diagonal/>
    </border>
    <border>
      <left/>
      <right/>
      <top/>
      <bottom style="medium">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thin">
        <color theme="1"/>
      </left>
      <right style="thin">
        <color theme="1"/>
      </right>
      <top style="thin">
        <color theme="1"/>
      </top>
      <bottom style="thin">
        <color theme="1"/>
      </bottom>
      <diagonal/>
    </border>
    <border>
      <left style="medium">
        <color rgb="FFE84C22"/>
      </left>
      <right/>
      <top style="medium">
        <color rgb="FFE84C22"/>
      </top>
      <bottom/>
      <diagonal/>
    </border>
    <border>
      <left/>
      <right/>
      <top style="medium">
        <color rgb="FFE84C22"/>
      </top>
      <bottom/>
      <diagonal/>
    </border>
    <border>
      <left/>
      <right style="medium">
        <color rgb="FFE84C22"/>
      </right>
      <top style="medium">
        <color rgb="FFE84C22"/>
      </top>
      <bottom/>
      <diagonal/>
    </border>
    <border>
      <left style="medium">
        <color rgb="FFE84C22"/>
      </left>
      <right/>
      <top/>
      <bottom/>
      <diagonal/>
    </border>
    <border>
      <left/>
      <right style="medium">
        <color rgb="FFE84C22"/>
      </right>
      <top/>
      <bottom/>
      <diagonal/>
    </border>
    <border>
      <left style="medium">
        <color rgb="FFE84C22"/>
      </left>
      <right/>
      <top/>
      <bottom style="medium">
        <color rgb="FFE84C22"/>
      </bottom>
      <diagonal/>
    </border>
    <border>
      <left/>
      <right/>
      <top/>
      <bottom style="medium">
        <color rgb="FFE84C22"/>
      </bottom>
      <diagonal/>
    </border>
    <border>
      <left/>
      <right style="medium">
        <color rgb="FFE84C22"/>
      </right>
      <top/>
      <bottom style="medium">
        <color rgb="FFE84C22"/>
      </bottom>
      <diagonal/>
    </border>
  </borders>
  <cellStyleXfs count="1">
    <xf numFmtId="0" fontId="0" fillId="0" borderId="0"/>
  </cellStyleXfs>
  <cellXfs count="174">
    <xf numFmtId="0" fontId="0" fillId="0" borderId="0" xfId="0"/>
    <xf numFmtId="0" fontId="9" fillId="0" borderId="0" xfId="0" applyFont="1"/>
    <xf numFmtId="0" fontId="10" fillId="2" borderId="1" xfId="0" applyFont="1" applyFill="1" applyBorder="1" applyAlignment="1">
      <alignment horizontal="center" wrapText="1"/>
    </xf>
    <xf numFmtId="0" fontId="10" fillId="0" borderId="0" xfId="0" applyFont="1"/>
    <xf numFmtId="0" fontId="7" fillId="0" borderId="0" xfId="0" applyFont="1"/>
    <xf numFmtId="0" fontId="11" fillId="0" borderId="0" xfId="0" applyFont="1"/>
    <xf numFmtId="0" fontId="12" fillId="0" borderId="0" xfId="0" applyFont="1"/>
    <xf numFmtId="14" fontId="0" fillId="0" borderId="0" xfId="0" applyNumberFormat="1"/>
    <xf numFmtId="2" fontId="0" fillId="0" borderId="0" xfId="0" applyNumberFormat="1"/>
    <xf numFmtId="1" fontId="0" fillId="0" borderId="0" xfId="0" applyNumberFormat="1"/>
    <xf numFmtId="0" fontId="8" fillId="0" borderId="2" xfId="0" applyFont="1" applyBorder="1" applyAlignment="1">
      <alignment horizontal="center"/>
    </xf>
    <xf numFmtId="14" fontId="8" fillId="0" borderId="2" xfId="0" applyNumberFormat="1" applyFont="1" applyBorder="1" applyAlignment="1">
      <alignment horizontal="center"/>
    </xf>
    <xf numFmtId="1" fontId="8" fillId="0" borderId="2" xfId="0" applyNumberFormat="1" applyFont="1" applyBorder="1" applyAlignment="1">
      <alignment horizontal="center"/>
    </xf>
    <xf numFmtId="2" fontId="8" fillId="0" borderId="2" xfId="0" applyNumberFormat="1" applyFont="1" applyBorder="1" applyAlignment="1">
      <alignment horizontal="center"/>
    </xf>
    <xf numFmtId="0" fontId="13" fillId="0" borderId="2" xfId="0" applyFont="1" applyBorder="1" applyAlignment="1">
      <alignment horizontal="center"/>
    </xf>
    <xf numFmtId="14" fontId="13" fillId="0" borderId="2" xfId="0" applyNumberFormat="1" applyFont="1" applyBorder="1" applyAlignment="1">
      <alignment horizontal="center"/>
    </xf>
    <xf numFmtId="1" fontId="13" fillId="0" borderId="2" xfId="0" applyNumberFormat="1" applyFont="1" applyBorder="1" applyAlignment="1">
      <alignment horizontal="center"/>
    </xf>
    <xf numFmtId="2" fontId="13" fillId="0" borderId="2" xfId="0" applyNumberFormat="1" applyFont="1" applyBorder="1" applyAlignment="1">
      <alignment horizontal="center"/>
    </xf>
    <xf numFmtId="0" fontId="17" fillId="0" borderId="2" xfId="0" applyFont="1" applyBorder="1" applyAlignment="1">
      <alignment horizontal="center"/>
    </xf>
    <xf numFmtId="14" fontId="7" fillId="0" borderId="2" xfId="0" applyNumberFormat="1" applyFont="1" applyBorder="1"/>
    <xf numFmtId="14" fontId="7" fillId="0" borderId="2" xfId="0" applyNumberFormat="1" applyFont="1" applyBorder="1" applyAlignment="1">
      <alignment horizontal="center"/>
    </xf>
    <xf numFmtId="0" fontId="7" fillId="0" borderId="2" xfId="0" applyFont="1" applyBorder="1" applyAlignment="1">
      <alignment horizontal="center"/>
    </xf>
    <xf numFmtId="0" fontId="14" fillId="0" borderId="2" xfId="0" applyFont="1" applyBorder="1" applyAlignment="1">
      <alignment horizontal="center"/>
    </xf>
    <xf numFmtId="14" fontId="7" fillId="0" borderId="2" xfId="0" applyNumberFormat="1" applyFont="1" applyBorder="1" applyAlignment="1">
      <alignment horizontal="right"/>
    </xf>
    <xf numFmtId="22" fontId="14" fillId="0" borderId="2" xfId="0" applyNumberFormat="1" applyFont="1" applyBorder="1" applyAlignment="1">
      <alignment horizontal="right"/>
    </xf>
    <xf numFmtId="0" fontId="7" fillId="0" borderId="2" xfId="0" applyFont="1" applyBorder="1" applyAlignment="1">
      <alignment horizontal="right"/>
    </xf>
    <xf numFmtId="0" fontId="14" fillId="0" borderId="2" xfId="0" applyFont="1" applyBorder="1" applyAlignment="1">
      <alignment horizontal="right"/>
    </xf>
    <xf numFmtId="0" fontId="10" fillId="0" borderId="2" xfId="0" applyFont="1" applyBorder="1" applyAlignment="1">
      <alignment horizontal="left"/>
    </xf>
    <xf numFmtId="0" fontId="15" fillId="0" borderId="2" xfId="0" applyFont="1" applyBorder="1" applyAlignment="1">
      <alignment horizontal="left"/>
    </xf>
    <xf numFmtId="14" fontId="0" fillId="0" borderId="2" xfId="0" applyNumberFormat="1" applyBorder="1"/>
    <xf numFmtId="14" fontId="14" fillId="0" borderId="2" xfId="0" applyNumberFormat="1" applyFont="1" applyBorder="1"/>
    <xf numFmtId="0" fontId="18" fillId="0" borderId="2" xfId="0" applyFont="1" applyBorder="1"/>
    <xf numFmtId="164" fontId="7" fillId="0" borderId="2" xfId="0" applyNumberFormat="1" applyFont="1" applyBorder="1" applyAlignment="1">
      <alignment horizontal="center"/>
    </xf>
    <xf numFmtId="164" fontId="0" fillId="0" borderId="2" xfId="0" applyNumberFormat="1" applyBorder="1" applyAlignment="1">
      <alignment horizontal="center"/>
    </xf>
    <xf numFmtId="0" fontId="0" fillId="0" borderId="2" xfId="0" applyBorder="1" applyAlignment="1">
      <alignment horizontal="center"/>
    </xf>
    <xf numFmtId="0" fontId="16" fillId="0" borderId="2" xfId="0" applyFont="1" applyBorder="1" applyAlignment="1">
      <alignment horizontal="center"/>
    </xf>
    <xf numFmtId="14" fontId="0" fillId="0" borderId="2" xfId="0" applyNumberFormat="1" applyBorder="1" applyAlignment="1">
      <alignment horizontal="center"/>
    </xf>
    <xf numFmtId="0" fontId="0" fillId="0" borderId="2" xfId="0" applyBorder="1"/>
    <xf numFmtId="2" fontId="0" fillId="0" borderId="2" xfId="0" applyNumberFormat="1" applyBorder="1" applyAlignment="1">
      <alignment horizontal="center"/>
    </xf>
    <xf numFmtId="1" fontId="0" fillId="0" borderId="2" xfId="0" applyNumberFormat="1" applyBorder="1" applyAlignment="1">
      <alignment horizontal="center"/>
    </xf>
    <xf numFmtId="1" fontId="0" fillId="0" borderId="2" xfId="0" applyNumberFormat="1" applyBorder="1"/>
    <xf numFmtId="0" fontId="10" fillId="0" borderId="3" xfId="0" applyFont="1" applyBorder="1" applyAlignment="1">
      <alignment horizontal="center"/>
    </xf>
    <xf numFmtId="0" fontId="10" fillId="0" borderId="4" xfId="0" applyFont="1" applyBorder="1" applyAlignment="1">
      <alignment horizontal="center"/>
    </xf>
    <xf numFmtId="0" fontId="8" fillId="0" borderId="4" xfId="0" applyFont="1" applyBorder="1" applyAlignment="1">
      <alignment horizontal="center"/>
    </xf>
    <xf numFmtId="0" fontId="8" fillId="0" borderId="3" xfId="0" applyFont="1" applyBorder="1" applyAlignment="1">
      <alignment horizontal="center"/>
    </xf>
    <xf numFmtId="0" fontId="13" fillId="0" borderId="6" xfId="0" applyFont="1" applyBorder="1" applyAlignment="1">
      <alignment horizontal="center"/>
    </xf>
    <xf numFmtId="14" fontId="13" fillId="0" borderId="7" xfId="0" applyNumberFormat="1" applyFont="1" applyBorder="1" applyAlignment="1">
      <alignment horizontal="center"/>
    </xf>
    <xf numFmtId="0" fontId="13" fillId="0" borderId="7" xfId="0" applyFont="1" applyBorder="1" applyAlignment="1">
      <alignment horizontal="center"/>
    </xf>
    <xf numFmtId="1" fontId="13" fillId="0" borderId="7" xfId="0" applyNumberFormat="1" applyFont="1" applyBorder="1" applyAlignment="1">
      <alignment horizontal="center"/>
    </xf>
    <xf numFmtId="2" fontId="13" fillId="0" borderId="7" xfId="0" applyNumberFormat="1" applyFont="1" applyBorder="1" applyAlignment="1">
      <alignment horizontal="center"/>
    </xf>
    <xf numFmtId="0" fontId="13" fillId="0" borderId="8" xfId="0" applyFont="1" applyBorder="1" applyAlignment="1">
      <alignment horizontal="center"/>
    </xf>
    <xf numFmtId="0" fontId="8" fillId="0" borderId="9" xfId="0" applyFont="1" applyBorder="1" applyAlignment="1">
      <alignment horizontal="center"/>
    </xf>
    <xf numFmtId="14" fontId="8" fillId="0" borderId="10" xfId="0" applyNumberFormat="1" applyFont="1" applyBorder="1" applyAlignment="1">
      <alignment horizontal="center"/>
    </xf>
    <xf numFmtId="0" fontId="8" fillId="0" borderId="10" xfId="0" applyFont="1" applyBorder="1" applyAlignment="1">
      <alignment horizontal="center"/>
    </xf>
    <xf numFmtId="1" fontId="8" fillId="0" borderId="10" xfId="0" applyNumberFormat="1" applyFont="1" applyBorder="1" applyAlignment="1">
      <alignment horizontal="center"/>
    </xf>
    <xf numFmtId="2" fontId="8" fillId="0" borderId="10" xfId="0" applyNumberFormat="1" applyFont="1" applyBorder="1" applyAlignment="1">
      <alignment horizontal="center"/>
    </xf>
    <xf numFmtId="0" fontId="8" fillId="0" borderId="11" xfId="0" applyFont="1" applyBorder="1" applyAlignment="1">
      <alignment horizontal="center"/>
    </xf>
    <xf numFmtId="14" fontId="8" fillId="0" borderId="2" xfId="0" applyNumberFormat="1" applyFont="1" applyBorder="1" applyAlignment="1" applyProtection="1">
      <alignment horizontal="center"/>
      <protection locked="0"/>
    </xf>
    <xf numFmtId="1" fontId="8" fillId="0" borderId="2" xfId="0" applyNumberFormat="1" applyFont="1" applyBorder="1" applyAlignment="1" applyProtection="1">
      <alignment horizontal="center"/>
      <protection locked="0"/>
    </xf>
    <xf numFmtId="2" fontId="8" fillId="0" borderId="2" xfId="0" applyNumberFormat="1" applyFont="1" applyBorder="1" applyAlignment="1" applyProtection="1">
      <alignment horizontal="center"/>
      <protection locked="0"/>
    </xf>
    <xf numFmtId="14" fontId="8" fillId="0" borderId="10" xfId="0" applyNumberFormat="1" applyFont="1" applyBorder="1" applyAlignment="1" applyProtection="1">
      <alignment horizontal="center"/>
      <protection locked="0"/>
    </xf>
    <xf numFmtId="1" fontId="8" fillId="0" borderId="10" xfId="0" applyNumberFormat="1" applyFont="1" applyBorder="1" applyAlignment="1" applyProtection="1">
      <alignment horizontal="center"/>
      <protection locked="0"/>
    </xf>
    <xf numFmtId="2" fontId="8" fillId="0" borderId="10" xfId="0" applyNumberFormat="1" applyFont="1" applyBorder="1" applyAlignment="1" applyProtection="1">
      <alignment horizontal="center"/>
      <protection locked="0"/>
    </xf>
    <xf numFmtId="2" fontId="13" fillId="0" borderId="8" xfId="0" applyNumberFormat="1" applyFont="1" applyBorder="1" applyAlignment="1">
      <alignment horizontal="center"/>
    </xf>
    <xf numFmtId="2" fontId="8" fillId="0" borderId="3" xfId="0" applyNumberFormat="1" applyFont="1" applyBorder="1" applyAlignment="1" applyProtection="1">
      <alignment horizontal="center"/>
      <protection locked="0"/>
    </xf>
    <xf numFmtId="2" fontId="8" fillId="0" borderId="11" xfId="0" applyNumberFormat="1" applyFont="1" applyBorder="1" applyAlignment="1" applyProtection="1">
      <alignment horizontal="center"/>
      <protection locked="0"/>
    </xf>
    <xf numFmtId="0" fontId="7" fillId="0" borderId="4" xfId="0" applyFont="1" applyBorder="1" applyAlignment="1" applyProtection="1">
      <alignment horizontal="center"/>
      <protection locked="0"/>
    </xf>
    <xf numFmtId="0" fontId="8" fillId="0" borderId="4" xfId="0" applyFont="1" applyBorder="1" applyAlignment="1" applyProtection="1">
      <alignment horizontal="center"/>
      <protection locked="0"/>
    </xf>
    <xf numFmtId="0" fontId="8" fillId="0" borderId="9" xfId="0" applyFont="1" applyBorder="1" applyAlignment="1" applyProtection="1">
      <alignment horizontal="center"/>
      <protection locked="0"/>
    </xf>
    <xf numFmtId="0" fontId="8" fillId="0" borderId="2" xfId="0" applyFont="1" applyBorder="1" applyAlignment="1" applyProtection="1">
      <alignment horizontal="center"/>
      <protection locked="0"/>
    </xf>
    <xf numFmtId="0" fontId="8" fillId="0" borderId="10" xfId="0" applyFont="1" applyBorder="1" applyAlignment="1" applyProtection="1">
      <alignment horizontal="center"/>
      <protection locked="0"/>
    </xf>
    <xf numFmtId="0" fontId="7" fillId="0" borderId="2" xfId="0" applyFont="1" applyBorder="1" applyAlignment="1" applyProtection="1">
      <alignment horizontal="center"/>
      <protection locked="0"/>
    </xf>
    <xf numFmtId="0" fontId="6" fillId="0" borderId="2" xfId="0" applyFont="1" applyBorder="1" applyAlignment="1" applyProtection="1">
      <alignment horizontal="center"/>
      <protection locked="0"/>
    </xf>
    <xf numFmtId="0" fontId="6" fillId="0" borderId="0" xfId="0" applyFont="1"/>
    <xf numFmtId="0" fontId="5" fillId="0" borderId="0" xfId="0" applyFont="1"/>
    <xf numFmtId="0" fontId="20" fillId="0" borderId="2" xfId="0" applyFont="1" applyBorder="1" applyAlignment="1">
      <alignment horizontal="center"/>
    </xf>
    <xf numFmtId="0" fontId="21" fillId="0" borderId="2" xfId="0" applyFont="1" applyBorder="1" applyAlignment="1">
      <alignment horizontal="center"/>
    </xf>
    <xf numFmtId="0" fontId="20" fillId="3" borderId="2" xfId="0" applyFont="1" applyFill="1" applyBorder="1" applyAlignment="1">
      <alignment horizontal="center"/>
    </xf>
    <xf numFmtId="0" fontId="21" fillId="4" borderId="2" xfId="0" applyFont="1" applyFill="1" applyBorder="1" applyAlignment="1">
      <alignment horizontal="center"/>
    </xf>
    <xf numFmtId="0" fontId="21" fillId="5" borderId="2" xfId="0" applyFont="1" applyFill="1" applyBorder="1" applyAlignment="1">
      <alignment horizontal="center"/>
    </xf>
    <xf numFmtId="0" fontId="22" fillId="6" borderId="2" xfId="0" applyFont="1" applyFill="1" applyBorder="1" applyAlignment="1">
      <alignment horizontal="center"/>
    </xf>
    <xf numFmtId="0" fontId="21" fillId="7" borderId="2" xfId="0" applyFont="1" applyFill="1" applyBorder="1" applyAlignment="1">
      <alignment horizontal="center"/>
    </xf>
    <xf numFmtId="0" fontId="5" fillId="8" borderId="2" xfId="0" applyFont="1" applyFill="1" applyBorder="1" applyAlignment="1">
      <alignment horizontal="center"/>
    </xf>
    <xf numFmtId="0" fontId="0" fillId="8" borderId="2" xfId="0" applyFill="1" applyBorder="1" applyAlignment="1">
      <alignment horizontal="center"/>
    </xf>
    <xf numFmtId="0" fontId="13" fillId="0" borderId="0" xfId="0" applyFont="1" applyAlignment="1">
      <alignment horizontal="center"/>
    </xf>
    <xf numFmtId="0" fontId="0" fillId="0" borderId="13" xfId="0" applyBorder="1"/>
    <xf numFmtId="0" fontId="23" fillId="9" borderId="14" xfId="0" applyFont="1" applyFill="1" applyBorder="1" applyAlignment="1">
      <alignment horizontal="left"/>
    </xf>
    <xf numFmtId="0" fontId="23" fillId="9" borderId="12" xfId="0" applyFont="1" applyFill="1" applyBorder="1" applyAlignment="1">
      <alignment horizontal="left"/>
    </xf>
    <xf numFmtId="0" fontId="0" fillId="0" borderId="5" xfId="0" applyBorder="1"/>
    <xf numFmtId="0" fontId="24" fillId="10" borderId="0" xfId="0" applyFont="1" applyFill="1" applyAlignment="1">
      <alignment horizontal="left"/>
    </xf>
    <xf numFmtId="0" fontId="25" fillId="10" borderId="5" xfId="0" applyFont="1" applyFill="1" applyBorder="1" applyAlignment="1">
      <alignment horizontal="left"/>
    </xf>
    <xf numFmtId="0" fontId="24" fillId="10" borderId="13" xfId="0" applyFont="1" applyFill="1" applyBorder="1" applyAlignment="1">
      <alignment horizontal="left"/>
    </xf>
    <xf numFmtId="0" fontId="26" fillId="9" borderId="12" xfId="0" applyFont="1" applyFill="1" applyBorder="1" applyAlignment="1">
      <alignment horizontal="right"/>
    </xf>
    <xf numFmtId="0" fontId="26" fillId="9" borderId="14" xfId="0" applyFont="1" applyFill="1" applyBorder="1" applyAlignment="1">
      <alignment horizontal="right"/>
    </xf>
    <xf numFmtId="0" fontId="0" fillId="11" borderId="0" xfId="0" applyFill="1"/>
    <xf numFmtId="0" fontId="27" fillId="0" borderId="0" xfId="0" applyFont="1" applyAlignment="1">
      <alignment vertical="top" wrapText="1"/>
    </xf>
    <xf numFmtId="0" fontId="5" fillId="0" borderId="15" xfId="0" applyFont="1" applyBorder="1"/>
    <xf numFmtId="2" fontId="5" fillId="0" borderId="16" xfId="0" applyNumberFormat="1" applyFont="1" applyBorder="1" applyAlignment="1">
      <alignment horizontal="center"/>
    </xf>
    <xf numFmtId="0" fontId="5" fillId="0" borderId="17" xfId="0" applyFont="1" applyBorder="1"/>
    <xf numFmtId="1" fontId="5" fillId="0" borderId="18" xfId="0" applyNumberFormat="1" applyFont="1" applyBorder="1" applyAlignment="1">
      <alignment horizontal="center"/>
    </xf>
    <xf numFmtId="0" fontId="5" fillId="0" borderId="18" xfId="0" applyFont="1" applyBorder="1" applyAlignment="1">
      <alignment horizontal="center"/>
    </xf>
    <xf numFmtId="0" fontId="5" fillId="0" borderId="19" xfId="0" applyFont="1" applyBorder="1"/>
    <xf numFmtId="0" fontId="5" fillId="0" borderId="20" xfId="0" applyFont="1" applyBorder="1" applyAlignment="1">
      <alignment horizontal="center"/>
    </xf>
    <xf numFmtId="0" fontId="28" fillId="0" borderId="21" xfId="0" applyFont="1" applyBorder="1" applyAlignment="1">
      <alignment horizontal="center"/>
    </xf>
    <xf numFmtId="0" fontId="0" fillId="0" borderId="0" xfId="0" applyAlignment="1">
      <alignment horizontal="center"/>
    </xf>
    <xf numFmtId="0" fontId="0" fillId="0" borderId="13" xfId="0" applyBorder="1" applyAlignment="1">
      <alignment horizontal="center"/>
    </xf>
    <xf numFmtId="0" fontId="4" fillId="0" borderId="2" xfId="0" applyFont="1" applyBorder="1" applyAlignment="1">
      <alignment horizontal="center"/>
    </xf>
    <xf numFmtId="0" fontId="10" fillId="0" borderId="2" xfId="0" applyFont="1" applyBorder="1" applyAlignment="1">
      <alignment horizontal="center"/>
    </xf>
    <xf numFmtId="0" fontId="0" fillId="0" borderId="3" xfId="0" applyBorder="1" applyAlignment="1">
      <alignment horizontal="center"/>
    </xf>
    <xf numFmtId="166" fontId="0" fillId="0" borderId="2" xfId="0" applyNumberFormat="1" applyBorder="1"/>
    <xf numFmtId="164" fontId="0" fillId="0" borderId="2" xfId="0" applyNumberFormat="1" applyBorder="1"/>
    <xf numFmtId="167" fontId="0" fillId="0" borderId="2" xfId="0" applyNumberFormat="1" applyBorder="1" applyAlignment="1">
      <alignment horizontal="center"/>
    </xf>
    <xf numFmtId="0" fontId="3" fillId="0" borderId="2" xfId="0" applyFont="1" applyBorder="1" applyAlignment="1">
      <alignment horizontal="center"/>
    </xf>
    <xf numFmtId="0" fontId="3" fillId="0" borderId="2" xfId="0" applyFont="1" applyBorder="1"/>
    <xf numFmtId="0" fontId="0" fillId="0" borderId="0" xfId="0" pivotButton="1"/>
    <xf numFmtId="2" fontId="0" fillId="0" borderId="16" xfId="0" applyNumberFormat="1" applyBorder="1" applyAlignment="1">
      <alignment horizontal="center"/>
    </xf>
    <xf numFmtId="0" fontId="2" fillId="0" borderId="15" xfId="0" applyFont="1" applyBorder="1"/>
    <xf numFmtId="0" fontId="2" fillId="0" borderId="19" xfId="0" applyFont="1" applyBorder="1"/>
    <xf numFmtId="0" fontId="13" fillId="0" borderId="22" xfId="0" applyFont="1" applyBorder="1" applyAlignment="1">
      <alignment horizontal="center"/>
    </xf>
    <xf numFmtId="0" fontId="0" fillId="0" borderId="22" xfId="0" applyBorder="1" applyAlignment="1">
      <alignment horizontal="center"/>
    </xf>
    <xf numFmtId="165" fontId="0" fillId="0" borderId="22" xfId="0" applyNumberFormat="1" applyBorder="1" applyAlignment="1">
      <alignment horizontal="center"/>
    </xf>
    <xf numFmtId="0" fontId="4" fillId="0" borderId="7" xfId="0" applyFont="1" applyBorder="1" applyAlignment="1">
      <alignment horizontal="center"/>
    </xf>
    <xf numFmtId="166" fontId="0" fillId="0" borderId="7" xfId="0" applyNumberFormat="1" applyBorder="1"/>
    <xf numFmtId="0" fontId="19" fillId="0" borderId="3" xfId="0" applyFont="1" applyBorder="1" applyAlignment="1">
      <alignment horizontal="center"/>
    </xf>
    <xf numFmtId="0" fontId="19" fillId="0" borderId="5" xfId="0" applyFont="1" applyBorder="1" applyAlignment="1">
      <alignment horizontal="center"/>
    </xf>
    <xf numFmtId="0" fontId="19" fillId="0" borderId="4" xfId="0" applyFont="1" applyBorder="1" applyAlignment="1">
      <alignment horizontal="center"/>
    </xf>
    <xf numFmtId="0" fontId="19" fillId="0" borderId="0" xfId="0" applyFont="1" applyAlignment="1">
      <alignment horizontal="center"/>
    </xf>
    <xf numFmtId="0" fontId="13" fillId="0" borderId="0" xfId="0" applyFont="1" applyAlignment="1">
      <alignment horizontal="center"/>
    </xf>
    <xf numFmtId="0" fontId="0" fillId="0" borderId="0" xfId="0" applyAlignment="1">
      <alignment horizontal="center"/>
    </xf>
    <xf numFmtId="0" fontId="10" fillId="0" borderId="0" xfId="0" applyFont="1" applyAlignment="1">
      <alignment horizontal="center"/>
    </xf>
    <xf numFmtId="0" fontId="4" fillId="0" borderId="0" xfId="0" applyFont="1" applyAlignment="1">
      <alignment horizontal="center"/>
    </xf>
    <xf numFmtId="0" fontId="10" fillId="0" borderId="2" xfId="0" applyFont="1" applyBorder="1" applyAlignment="1">
      <alignment horizontal="center"/>
    </xf>
    <xf numFmtId="0" fontId="13" fillId="0" borderId="2" xfId="0" applyFont="1" applyBorder="1" applyAlignment="1">
      <alignment horizontal="center"/>
    </xf>
    <xf numFmtId="0" fontId="0" fillId="0" borderId="2" xfId="0" applyBorder="1" applyAlignment="1">
      <alignment horizontal="center"/>
    </xf>
    <xf numFmtId="0" fontId="4" fillId="0" borderId="2" xfId="0" applyFont="1" applyBorder="1" applyAlignment="1">
      <alignment horizontal="center"/>
    </xf>
    <xf numFmtId="0" fontId="3" fillId="0" borderId="2" xfId="0" applyFont="1" applyBorder="1" applyAlignment="1">
      <alignment horizont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10" fillId="0" borderId="4"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horizontal="center" vertical="center"/>
    </xf>
    <xf numFmtId="0" fontId="0" fillId="12" borderId="0" xfId="0" applyFill="1"/>
    <xf numFmtId="0" fontId="0" fillId="0" borderId="0" xfId="0" applyNumberFormat="1"/>
    <xf numFmtId="0" fontId="29" fillId="12" borderId="0" xfId="0" applyFont="1" applyFill="1" applyAlignment="1">
      <alignment horizontal="center"/>
    </xf>
    <xf numFmtId="0" fontId="30" fillId="12" borderId="0" xfId="0" applyFont="1" applyFill="1" applyAlignment="1">
      <alignment horizontal="center"/>
    </xf>
    <xf numFmtId="0" fontId="29" fillId="12" borderId="0" xfId="0" applyFont="1" applyFill="1" applyAlignment="1">
      <alignment vertical="center"/>
    </xf>
    <xf numFmtId="0" fontId="29" fillId="12" borderId="0" xfId="0" applyFont="1" applyFill="1" applyAlignment="1">
      <alignment horizontal="center" vertical="center"/>
    </xf>
    <xf numFmtId="168" fontId="31" fillId="12" borderId="26" xfId="0" applyNumberFormat="1" applyFont="1" applyFill="1" applyBorder="1" applyAlignment="1">
      <alignment horizontal="center" vertical="center"/>
    </xf>
    <xf numFmtId="168" fontId="31" fillId="12" borderId="0" xfId="0" applyNumberFormat="1" applyFont="1" applyFill="1" applyBorder="1" applyAlignment="1">
      <alignment horizontal="center" vertical="center"/>
    </xf>
    <xf numFmtId="168" fontId="31" fillId="12" borderId="27" xfId="0" applyNumberFormat="1" applyFont="1" applyFill="1" applyBorder="1" applyAlignment="1">
      <alignment horizontal="center" vertical="center"/>
    </xf>
    <xf numFmtId="168" fontId="31" fillId="12" borderId="28" xfId="0" applyNumberFormat="1" applyFont="1" applyFill="1" applyBorder="1" applyAlignment="1">
      <alignment horizontal="center" vertical="center"/>
    </xf>
    <xf numFmtId="168" fontId="31" fillId="12" borderId="29" xfId="0" applyNumberFormat="1" applyFont="1" applyFill="1" applyBorder="1" applyAlignment="1">
      <alignment horizontal="center" vertical="center"/>
    </xf>
    <xf numFmtId="168" fontId="31" fillId="12" borderId="30" xfId="0" applyNumberFormat="1" applyFont="1" applyFill="1" applyBorder="1" applyAlignment="1">
      <alignment horizontal="center" vertical="center"/>
    </xf>
    <xf numFmtId="0" fontId="31" fillId="12" borderId="26" xfId="0" applyFont="1" applyFill="1" applyBorder="1" applyAlignment="1">
      <alignment horizontal="center" vertical="center"/>
    </xf>
    <xf numFmtId="0" fontId="31" fillId="12" borderId="0" xfId="0" applyFont="1" applyFill="1" applyBorder="1" applyAlignment="1">
      <alignment horizontal="center" vertical="center"/>
    </xf>
    <xf numFmtId="0" fontId="31" fillId="12" borderId="27" xfId="0" applyFont="1" applyFill="1" applyBorder="1" applyAlignment="1">
      <alignment horizontal="center" vertical="center"/>
    </xf>
    <xf numFmtId="0" fontId="31" fillId="12" borderId="28" xfId="0" applyFont="1" applyFill="1" applyBorder="1" applyAlignment="1">
      <alignment horizontal="center" vertical="center"/>
    </xf>
    <xf numFmtId="0" fontId="31" fillId="12" borderId="29" xfId="0" applyFont="1" applyFill="1" applyBorder="1" applyAlignment="1">
      <alignment horizontal="center" vertical="center"/>
    </xf>
    <xf numFmtId="0" fontId="31" fillId="12" borderId="30" xfId="0" applyFont="1" applyFill="1" applyBorder="1" applyAlignment="1">
      <alignment horizontal="center" vertical="center"/>
    </xf>
    <xf numFmtId="1" fontId="31" fillId="12" borderId="26" xfId="0" applyNumberFormat="1" applyFont="1" applyFill="1" applyBorder="1" applyAlignment="1">
      <alignment horizontal="center" vertical="center"/>
    </xf>
    <xf numFmtId="1" fontId="31" fillId="12" borderId="0" xfId="0" applyNumberFormat="1" applyFont="1" applyFill="1" applyBorder="1" applyAlignment="1">
      <alignment horizontal="center" vertical="center"/>
    </xf>
    <xf numFmtId="1" fontId="31" fillId="12" borderId="27" xfId="0" applyNumberFormat="1" applyFont="1" applyFill="1" applyBorder="1" applyAlignment="1">
      <alignment horizontal="center" vertical="center"/>
    </xf>
    <xf numFmtId="1" fontId="31" fillId="12" borderId="28" xfId="0" applyNumberFormat="1" applyFont="1" applyFill="1" applyBorder="1" applyAlignment="1">
      <alignment horizontal="center" vertical="center"/>
    </xf>
    <xf numFmtId="1" fontId="31" fillId="12" borderId="29" xfId="0" applyNumberFormat="1" applyFont="1" applyFill="1" applyBorder="1" applyAlignment="1">
      <alignment horizontal="center" vertical="center"/>
    </xf>
    <xf numFmtId="1" fontId="31" fillId="12" borderId="30" xfId="0" applyNumberFormat="1" applyFont="1" applyFill="1" applyBorder="1" applyAlignment="1">
      <alignment horizontal="center" vertical="center"/>
    </xf>
    <xf numFmtId="0" fontId="32" fillId="12" borderId="23" xfId="0" applyFont="1" applyFill="1" applyBorder="1" applyAlignment="1">
      <alignment horizontal="center" vertical="center"/>
    </xf>
    <xf numFmtId="0" fontId="32" fillId="12" borderId="24" xfId="0" applyFont="1" applyFill="1" applyBorder="1" applyAlignment="1">
      <alignment horizontal="center" vertical="center"/>
    </xf>
    <xf numFmtId="0" fontId="32" fillId="12" borderId="25" xfId="0" applyFont="1" applyFill="1" applyBorder="1" applyAlignment="1">
      <alignment horizontal="center" vertical="center"/>
    </xf>
    <xf numFmtId="0" fontId="32" fillId="12" borderId="26" xfId="0" applyFont="1" applyFill="1" applyBorder="1" applyAlignment="1">
      <alignment horizontal="center" vertical="center"/>
    </xf>
    <xf numFmtId="0" fontId="32" fillId="12" borderId="0" xfId="0" applyFont="1" applyFill="1" applyBorder="1" applyAlignment="1">
      <alignment horizontal="center" vertical="center"/>
    </xf>
    <xf numFmtId="0" fontId="32" fillId="12" borderId="27" xfId="0" applyFont="1" applyFill="1" applyBorder="1" applyAlignment="1">
      <alignment horizontal="center" vertical="center"/>
    </xf>
  </cellXfs>
  <cellStyles count="1">
    <cellStyle name="Normal" xfId="0" builtinId="0"/>
  </cellStyles>
  <dxfs count="65">
    <dxf>
      <fill>
        <patternFill>
          <fgColor rgb="FF99FFC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7" tint="0.39994506668294322"/>
        </patternFill>
      </fill>
    </dxf>
    <dxf>
      <fill>
        <patternFill>
          <bgColor rgb="FF92D050"/>
        </patternFill>
      </fill>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sz val="11"/>
        <color theme="1"/>
      </font>
    </dxf>
    <dxf>
      <font>
        <b/>
        <i val="0"/>
        <sz val="12"/>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bottom style="thin">
          <color theme="4"/>
        </bottom>
        <vertical/>
        <horizontal/>
      </border>
    </dxf>
    <dxf>
      <font>
        <b/>
        <i val="0"/>
        <sz val="16"/>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My Slicer" pivot="0" table="0" count="10" xr9:uid="{95269DE5-5B36-4C2C-BC3B-27340A40FFEC}">
      <tableStyleElement type="wholeTable" dxfId="64"/>
      <tableStyleElement type="headerRow" dxfId="63"/>
    </tableStyle>
    <tableStyle name="Timeline Style 1" pivot="0" table="0" count="8" xr9:uid="{DDBD3D5F-3BF5-4D62-B5BE-3D94E4345119}">
      <tableStyleElement type="wholeTable" dxfId="62"/>
      <tableStyleElement type="headerRow" dxfId="61"/>
    </tableStyle>
  </tableStyles>
  <colors>
    <mruColors>
      <color rgb="FFE84C22"/>
      <color rgb="FF271432"/>
      <color rgb="FFA855F7"/>
      <color rgb="FF7B5F8A"/>
      <color rgb="FF1C0F1E"/>
      <color rgb="FFFF9900"/>
      <color rgb="FF99FFCC"/>
      <color rgb="FF66FFCC"/>
      <color rgb="FFFFFF99"/>
      <color rgb="FF33CC3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[Final_Project_Excel_Pratik.xlsx]Pivot_Table!Categorys vs total</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a:t>
            </a:r>
            <a:endParaRPr lang="en-US"/>
          </a:p>
        </c:rich>
      </c:tx>
      <c:layout>
        <c:manualLayout>
          <c:xMode val="edge"/>
          <c:yMode val="edge"/>
          <c:x val="0.27121542940320231"/>
          <c:y val="0.1201505282089258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pieChart>
        <c:varyColors val="1"/>
        <c:ser>
          <c:idx val="0"/>
          <c:order val="0"/>
          <c:tx>
            <c:strRef>
              <c:f>Pivot_Table!$B$3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4976-41A6-AC6F-75B181ED0C15}"/>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4976-41A6-AC6F-75B181ED0C15}"/>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4976-41A6-AC6F-75B181ED0C15}"/>
              </c:ext>
            </c:extLst>
          </c:dPt>
          <c:cat>
            <c:strRef>
              <c:f>Pivot_Table!$A$4:$A$7</c:f>
              <c:strCache>
                <c:ptCount val="3"/>
                <c:pt idx="0">
                  <c:v>Appliances</c:v>
                </c:pt>
                <c:pt idx="1">
                  <c:v>Electronics</c:v>
                </c:pt>
                <c:pt idx="2">
                  <c:v>Furniture</c:v>
                </c:pt>
              </c:strCache>
            </c:strRef>
          </c:cat>
          <c:val>
            <c:numRef>
              <c:f>Pivot_Table!$B$4:$B$7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FFD8-4AEB-A0B8-182C1198FA8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[Final_Project_Excel_Pratik.xlsx]Pivot_Table!Rigion vs total amount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Region</a:t>
            </a:r>
            <a:endParaRPr lang="en-IN"/>
          </a:p>
        </c:rich>
      </c:tx>
      <c:layout>
        <c:manualLayout>
          <c:xMode val="edge"/>
          <c:yMode val="edge"/>
          <c:x val="0.33903455818022749"/>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Pivot_Table!$A$11:$A$16</c:f>
              <c:strCache>
                <c:ptCount val="5"/>
                <c:pt idx="0">
                  <c:v>East</c:v>
                </c:pt>
                <c:pt idx="1">
                  <c:v>North</c:v>
                </c:pt>
                <c:pt idx="2">
                  <c:v>West</c:v>
                </c:pt>
                <c:pt idx="3">
                  <c:v>Central</c:v>
                </c:pt>
                <c:pt idx="4">
                  <c:v>South</c:v>
                </c:pt>
              </c:strCache>
            </c:strRef>
          </c:cat>
          <c:val>
            <c:numRef>
              <c:f>Pivot_Table!$B$11:$B$16</c:f>
              <c:numCache>
                <c:formatCode>General</c:formatCode>
                <c:ptCount val="5"/>
                <c:pt idx="0">
                  <c:v>59288.389999999992</c:v>
                </c:pt>
                <c:pt idx="1">
                  <c:v>50808.310000000012</c:v>
                </c:pt>
                <c:pt idx="2">
                  <c:v>41408.680000000015</c:v>
                </c:pt>
                <c:pt idx="3">
                  <c:v>41288.340000000018</c:v>
                </c:pt>
                <c:pt idx="4">
                  <c:v>36398.750000000007</c:v>
                </c:pt>
              </c:numCache>
            </c:numRef>
          </c:val>
          <c:extLst>
            <c:ext xmlns:c16="http://schemas.microsoft.com/office/drawing/2014/chart" uri="{C3380CC4-5D6E-409C-BE32-E72D297353CC}">
              <c16:uniqueId val="{00000000-6796-4F9C-BD13-0B8BBC2774C1}"/>
            </c:ext>
          </c:extLst>
        </c:ser>
        <c:dLbls>
          <c:dLblPos val="outEnd"/>
          <c:showLegendKey val="0"/>
          <c:showVal val="1"/>
          <c:showCatName val="0"/>
          <c:showSerName val="0"/>
          <c:showPercent val="0"/>
          <c:showBubbleSize val="0"/>
        </c:dLbls>
        <c:gapWidth val="219"/>
        <c:overlap val="-27"/>
        <c:axId val="404357136"/>
        <c:axId val="404355216"/>
      </c:barChart>
      <c:catAx>
        <c:axId val="40435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355216"/>
        <c:crosses val="autoZero"/>
        <c:auto val="1"/>
        <c:lblAlgn val="ctr"/>
        <c:lblOffset val="100"/>
        <c:noMultiLvlLbl val="0"/>
      </c:catAx>
      <c:valAx>
        <c:axId val="404355216"/>
        <c:scaling>
          <c:orientation val="minMax"/>
        </c:scaling>
        <c:delete val="1"/>
        <c:axPos val="l"/>
        <c:numFmt formatCode="General" sourceLinked="1"/>
        <c:majorTickMark val="none"/>
        <c:minorTickMark val="none"/>
        <c:tickLblPos val="nextTo"/>
        <c:crossAx val="40435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[Final_Project_Excel_Pratik.xlsx]Pivot_Table!month vs t_a</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layout>
        <c:manualLayout>
          <c:xMode val="edge"/>
          <c:yMode val="edge"/>
          <c:x val="0.29942991281019449"/>
          <c:y val="7.48751787552660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Pivot_Table!$A$20:$B$32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Pivot_Table!$C$20:$C$32</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AD36-459B-B493-C118E90E09C7}"/>
            </c:ext>
          </c:extLst>
        </c:ser>
        <c:dLbls>
          <c:dLblPos val="t"/>
          <c:showLegendKey val="0"/>
          <c:showVal val="1"/>
          <c:showCatName val="0"/>
          <c:showSerName val="0"/>
          <c:showPercent val="0"/>
          <c:showBubbleSize val="0"/>
        </c:dLbls>
        <c:marker val="1"/>
        <c:smooth val="0"/>
        <c:axId val="595512064"/>
        <c:axId val="595523104"/>
      </c:lineChart>
      <c:catAx>
        <c:axId val="59551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23104"/>
        <c:crosses val="autoZero"/>
        <c:auto val="1"/>
        <c:lblAlgn val="ctr"/>
        <c:lblOffset val="100"/>
        <c:noMultiLvlLbl val="0"/>
      </c:catAx>
      <c:valAx>
        <c:axId val="5955231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9551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[Final_Project_Excel_Pratik.xlsx]Pivot_Table!Product vs t_a</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Product</a:t>
            </a:r>
            <a:endParaRPr lang="en-IN"/>
          </a:p>
        </c:rich>
      </c:tx>
      <c:layout>
        <c:manualLayout>
          <c:xMode val="edge"/>
          <c:yMode val="edge"/>
          <c:x val="0.33386111111111111"/>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Pivot_Table!$B$35</c:f>
              <c:strCache>
                <c:ptCount val="1"/>
                <c:pt idx="0">
                  <c:v>Total</c:v>
                </c:pt>
              </c:strCache>
            </c:strRef>
          </c:tx>
          <c:spPr>
            <a:solidFill>
              <a:schemeClr val="accent1"/>
            </a:solidFill>
            <a:ln>
              <a:noFill/>
            </a:ln>
            <a:effectLst/>
          </c:spPr>
          <c:invertIfNegative val="0"/>
          <c:cat>
            <c:strRef>
              <c:f>Pivot_Table!$A$36:$A$46</c:f>
              <c:strCache>
                <c:ptCount val="10"/>
                <c:pt idx="0">
                  <c:v>Laptop</c:v>
                </c:pt>
                <c:pt idx="1">
                  <c:v>Smartphone</c:v>
                </c:pt>
                <c:pt idx="2">
                  <c:v>Desk</c:v>
                </c:pt>
                <c:pt idx="3">
                  <c:v>Monitor</c:v>
                </c:pt>
                <c:pt idx="4">
                  <c:v>Bookshelf</c:v>
                </c:pt>
                <c:pt idx="5">
                  <c:v>Office Chair</c:v>
                </c:pt>
                <c:pt idx="6">
                  <c:v>Keyboard</c:v>
                </c:pt>
                <c:pt idx="7">
                  <c:v>Headphones</c:v>
                </c:pt>
                <c:pt idx="8">
                  <c:v>Blender</c:v>
                </c:pt>
                <c:pt idx="9">
                  <c:v>Coffee Maker</c:v>
                </c:pt>
              </c:strCache>
            </c:strRef>
          </c:cat>
          <c:val>
            <c:numRef>
              <c:f>Pivot_Table!$B$36:$B$46</c:f>
              <c:numCache>
                <c:formatCode>General</c:formatCode>
                <c:ptCount val="10"/>
                <c:pt idx="0">
                  <c:v>67499.25</c:v>
                </c:pt>
                <c:pt idx="1">
                  <c:v>67199.039999999994</c:v>
                </c:pt>
                <c:pt idx="2">
                  <c:v>23399.22</c:v>
                </c:pt>
                <c:pt idx="3">
                  <c:v>21999.119999999999</c:v>
                </c:pt>
                <c:pt idx="4">
                  <c:v>15298.979999999994</c:v>
                </c:pt>
                <c:pt idx="5">
                  <c:v>10399.479999999998</c:v>
                </c:pt>
                <c:pt idx="6">
                  <c:v>8009.1099999999969</c:v>
                </c:pt>
                <c:pt idx="7">
                  <c:v>7049.5299999999988</c:v>
                </c:pt>
                <c:pt idx="8">
                  <c:v>5219.1299999999974</c:v>
                </c:pt>
                <c:pt idx="9">
                  <c:v>3119.6099999999992</c:v>
                </c:pt>
              </c:numCache>
            </c:numRef>
          </c:val>
          <c:extLst>
            <c:ext xmlns:c16="http://schemas.microsoft.com/office/drawing/2014/chart" uri="{C3380CC4-5D6E-409C-BE32-E72D297353CC}">
              <c16:uniqueId val="{00000000-CFC3-4402-B036-C609EDECB7AE}"/>
            </c:ext>
          </c:extLst>
        </c:ser>
        <c:dLbls>
          <c:showLegendKey val="0"/>
          <c:showVal val="0"/>
          <c:showCatName val="0"/>
          <c:showSerName val="0"/>
          <c:showPercent val="0"/>
          <c:showBubbleSize val="0"/>
        </c:dLbls>
        <c:gapWidth val="219"/>
        <c:overlap val="-27"/>
        <c:axId val="595505824"/>
        <c:axId val="595509184"/>
      </c:barChart>
      <c:catAx>
        <c:axId val="59550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09184"/>
        <c:crosses val="autoZero"/>
        <c:auto val="1"/>
        <c:lblAlgn val="ctr"/>
        <c:lblOffset val="100"/>
        <c:noMultiLvlLbl val="0"/>
      </c:catAx>
      <c:valAx>
        <c:axId val="59550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0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[Final_Project_Excel_Pratik.xlsx]Pivot_Table!customr vs t_a</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Customer Segment</a:t>
            </a:r>
            <a:endParaRPr lang="en-US"/>
          </a:p>
        </c:rich>
      </c:tx>
      <c:layout>
        <c:manualLayout>
          <c:xMode val="edge"/>
          <c:yMode val="edge"/>
          <c:x val="0.18047921071176884"/>
          <c:y val="0.1196583639386274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pieChart>
        <c:varyColors val="1"/>
        <c:ser>
          <c:idx val="0"/>
          <c:order val="0"/>
          <c:tx>
            <c:strRef>
              <c:f>Pivot_Table!$B$49</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29E6-4B2E-9F13-A9A5C2672040}"/>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29E6-4B2E-9F13-A9A5C2672040}"/>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29E6-4B2E-9F13-A9A5C2672040}"/>
              </c:ext>
            </c:extLst>
          </c:dPt>
          <c:cat>
            <c:strRef>
              <c:f>Pivot_Table!$A$50:$A$53</c:f>
              <c:strCache>
                <c:ptCount val="3"/>
                <c:pt idx="0">
                  <c:v>Basic</c:v>
                </c:pt>
                <c:pt idx="1">
                  <c:v>Premium</c:v>
                </c:pt>
                <c:pt idx="2">
                  <c:v>Standard</c:v>
                </c:pt>
              </c:strCache>
            </c:strRef>
          </c:cat>
          <c:val>
            <c:numRef>
              <c:f>Pivot_Table!$B$50:$B$53</c:f>
              <c:numCache>
                <c:formatCode>General</c:formatCode>
                <c:ptCount val="3"/>
                <c:pt idx="0">
                  <c:v>62177.810000000019</c:v>
                </c:pt>
                <c:pt idx="1">
                  <c:v>84657.12000000001</c:v>
                </c:pt>
                <c:pt idx="2">
                  <c:v>82357.540000000037</c:v>
                </c:pt>
              </c:numCache>
            </c:numRef>
          </c:val>
          <c:extLst>
            <c:ext xmlns:c16="http://schemas.microsoft.com/office/drawing/2014/chart" uri="{C3380CC4-5D6E-409C-BE32-E72D297353CC}">
              <c16:uniqueId val="{00000000-621A-4981-AB5B-4C3C9334626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[Final_Project_Excel_Pratik.xlsx]Pivot_Table!Categorys vs total</c:name>
    <c:fmtId val="6"/>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IN"/>
              <a:t>Revenue By Category</a:t>
            </a:r>
            <a:endParaRPr lang="en-US"/>
          </a:p>
        </c:rich>
      </c:tx>
      <c:layout>
        <c:manualLayout>
          <c:xMode val="edge"/>
          <c:yMode val="edge"/>
          <c:x val="0.27944879282082946"/>
          <c:y val="2.6293973602643121E-2"/>
        </c:manualLayout>
      </c:layout>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hade val="65000"/>
            </a:schemeClr>
          </a:solidFill>
          <a:ln w="19050">
            <a:solidFill>
              <a:schemeClr val="lt1"/>
            </a:solidFill>
          </a:ln>
          <a:effectLst/>
        </c:spPr>
        <c:dLbl>
          <c:idx val="0"/>
          <c:layout>
            <c:manualLayout>
              <c:x val="0.15712851593397092"/>
              <c:y val="4.3048116560160103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9.9382432206437651E-2"/>
              <c:y val="-4.2902265432866418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77163033824561"/>
                  <c:h val="0.16104702772460008"/>
                </c:manualLayout>
              </c15:layout>
            </c:ext>
          </c:extLst>
        </c:dLbl>
      </c:pivotFmt>
      <c:pivotFmt>
        <c:idx val="8"/>
        <c:spPr>
          <a:solidFill>
            <a:schemeClr val="accent1">
              <a:tint val="65000"/>
            </a:schemeClr>
          </a:solidFill>
          <a:ln w="19050">
            <a:solidFill>
              <a:schemeClr val="lt1"/>
            </a:solidFill>
          </a:ln>
          <a:effectLst/>
        </c:spPr>
        <c:dLbl>
          <c:idx val="0"/>
          <c:layout>
            <c:manualLayout>
              <c:x val="-6.3947651833592814E-2"/>
              <c:y val="0.1045454259318174"/>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202335627696189"/>
          <c:y val="0.10131109736961739"/>
          <c:w val="0.44117443701920706"/>
          <c:h val="0.89868890263038259"/>
        </c:manualLayout>
      </c:layout>
      <c:pieChart>
        <c:varyColors val="1"/>
        <c:ser>
          <c:idx val="0"/>
          <c:order val="0"/>
          <c:tx>
            <c:strRef>
              <c:f>Pivot_Table!$B$3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E9C6-44A0-A800-A341A02BC628}"/>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E9C6-44A0-A800-A341A02BC628}"/>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E9C6-44A0-A800-A341A02BC628}"/>
              </c:ext>
            </c:extLst>
          </c:dPt>
          <c:dLbls>
            <c:dLbl>
              <c:idx val="0"/>
              <c:layout>
                <c:manualLayout>
                  <c:x val="0.15712851593397092"/>
                  <c:y val="4.304811656016010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9C6-44A0-A800-A341A02BC628}"/>
                </c:ext>
              </c:extLst>
            </c:dLbl>
            <c:dLbl>
              <c:idx val="1"/>
              <c:layout>
                <c:manualLayout>
                  <c:x val="9.9382432206437651E-2"/>
                  <c:y val="-4.290226543286641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4977163033824561"/>
                      <c:h val="0.16104702772460008"/>
                    </c:manualLayout>
                  </c15:layout>
                </c:ext>
                <c:ext xmlns:c16="http://schemas.microsoft.com/office/drawing/2014/chart" uri="{C3380CC4-5D6E-409C-BE32-E72D297353CC}">
                  <c16:uniqueId val="{00000003-E9C6-44A0-A800-A341A02BC628}"/>
                </c:ext>
              </c:extLst>
            </c:dLbl>
            <c:dLbl>
              <c:idx val="2"/>
              <c:layout>
                <c:manualLayout>
                  <c:x val="-6.3947651833592814E-2"/>
                  <c:y val="0.104545425931817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9C6-44A0-A800-A341A02BC628}"/>
                </c:ext>
              </c:extLst>
            </c:dLbl>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Pivot_Table!$A$4:$A$7</c:f>
              <c:strCache>
                <c:ptCount val="3"/>
                <c:pt idx="0">
                  <c:v>Appliances</c:v>
                </c:pt>
                <c:pt idx="1">
                  <c:v>Electronics</c:v>
                </c:pt>
                <c:pt idx="2">
                  <c:v>Furniture</c:v>
                </c:pt>
              </c:strCache>
            </c:strRef>
          </c:cat>
          <c:val>
            <c:numRef>
              <c:f>Pivot_Table!$B$4:$B$7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E9C6-44A0-A800-A341A02BC62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[Final_Project_Excel_Pratik.xlsx]Pivot_Table!Rigion vs total amount</c:name>
    <c:fmtId val="4"/>
  </c:pivotSource>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n-IN"/>
              <a:t>Revenue By Region</a:t>
            </a:r>
          </a:p>
        </c:rich>
      </c:tx>
      <c:layout>
        <c:manualLayout>
          <c:xMode val="edge"/>
          <c:yMode val="edge"/>
          <c:x val="0.38834965279555522"/>
          <c:y val="6.8179635679203543E-2"/>
        </c:manualLayout>
      </c:layout>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Pivot_Table!$A$11:$A$16</c:f>
              <c:strCache>
                <c:ptCount val="5"/>
                <c:pt idx="0">
                  <c:v>East</c:v>
                </c:pt>
                <c:pt idx="1">
                  <c:v>North</c:v>
                </c:pt>
                <c:pt idx="2">
                  <c:v>West</c:v>
                </c:pt>
                <c:pt idx="3">
                  <c:v>Central</c:v>
                </c:pt>
                <c:pt idx="4">
                  <c:v>South</c:v>
                </c:pt>
              </c:strCache>
            </c:strRef>
          </c:cat>
          <c:val>
            <c:numRef>
              <c:f>Pivot_Table!$B$11:$B$16</c:f>
              <c:numCache>
                <c:formatCode>General</c:formatCode>
                <c:ptCount val="5"/>
                <c:pt idx="0">
                  <c:v>59288.389999999992</c:v>
                </c:pt>
                <c:pt idx="1">
                  <c:v>50808.310000000012</c:v>
                </c:pt>
                <c:pt idx="2">
                  <c:v>41408.680000000015</c:v>
                </c:pt>
                <c:pt idx="3">
                  <c:v>41288.340000000018</c:v>
                </c:pt>
                <c:pt idx="4">
                  <c:v>36398.750000000007</c:v>
                </c:pt>
              </c:numCache>
            </c:numRef>
          </c:val>
          <c:extLst>
            <c:ext xmlns:c16="http://schemas.microsoft.com/office/drawing/2014/chart" uri="{C3380CC4-5D6E-409C-BE32-E72D297353CC}">
              <c16:uniqueId val="{00000000-F10C-44C5-8EA3-6AD99540299C}"/>
            </c:ext>
          </c:extLst>
        </c:ser>
        <c:dLbls>
          <c:dLblPos val="outEnd"/>
          <c:showLegendKey val="0"/>
          <c:showVal val="1"/>
          <c:showCatName val="0"/>
          <c:showSerName val="0"/>
          <c:showPercent val="0"/>
          <c:showBubbleSize val="0"/>
        </c:dLbls>
        <c:gapWidth val="219"/>
        <c:overlap val="-27"/>
        <c:axId val="404357136"/>
        <c:axId val="404355216"/>
      </c:barChart>
      <c:catAx>
        <c:axId val="40435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04355216"/>
        <c:crosses val="autoZero"/>
        <c:auto val="1"/>
        <c:lblAlgn val="ctr"/>
        <c:lblOffset val="100"/>
        <c:noMultiLvlLbl val="0"/>
      </c:catAx>
      <c:valAx>
        <c:axId val="404355216"/>
        <c:scaling>
          <c:orientation val="minMax"/>
        </c:scaling>
        <c:delete val="1"/>
        <c:axPos val="l"/>
        <c:numFmt formatCode="General" sourceLinked="1"/>
        <c:majorTickMark val="none"/>
        <c:minorTickMark val="none"/>
        <c:tickLblPos val="nextTo"/>
        <c:crossAx val="40435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[Final_Project_Excel_Pratik.xlsx]Pivot_Table!customr vs t_a</c:name>
    <c:fmtId val="5"/>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IN"/>
              <a:t>Revenue by Customer Segment</a:t>
            </a:r>
            <a:endParaRPr lang="en-US"/>
          </a:p>
        </c:rich>
      </c:tx>
      <c:layout>
        <c:manualLayout>
          <c:xMode val="edge"/>
          <c:yMode val="edge"/>
          <c:x val="0.3011041961572502"/>
          <c:y val="1.9427487553874623E-2"/>
        </c:manualLayout>
      </c:layout>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hade val="65000"/>
            </a:schemeClr>
          </a:solidFill>
          <a:ln w="19050">
            <a:solidFill>
              <a:schemeClr val="lt1"/>
            </a:solidFill>
          </a:ln>
          <a:effectLst/>
        </c:spPr>
        <c:dLbl>
          <c:idx val="0"/>
          <c:layout>
            <c:manualLayout>
              <c:x val="3.1050228310502283E-2"/>
              <c:y val="2.7804110191848329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4.3835616438356095E-2"/>
              <c:y val="-2.0853082643886398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tint val="65000"/>
            </a:schemeClr>
          </a:solidFill>
          <a:ln w="19050">
            <a:solidFill>
              <a:schemeClr val="lt1"/>
            </a:solidFill>
          </a:ln>
          <a:effectLst/>
        </c:spPr>
      </c:pivotFmt>
    </c:pivotFmts>
    <c:plotArea>
      <c:layout>
        <c:manualLayout>
          <c:layoutTarget val="inner"/>
          <c:xMode val="edge"/>
          <c:yMode val="edge"/>
          <c:x val="0.284816884190846"/>
          <c:y val="0.13201944317343417"/>
          <c:w val="0.41027505123503399"/>
          <c:h val="0.78068933394925644"/>
        </c:manualLayout>
      </c:layout>
      <c:doughnutChart>
        <c:varyColors val="1"/>
        <c:ser>
          <c:idx val="0"/>
          <c:order val="0"/>
          <c:tx>
            <c:strRef>
              <c:f>Pivot_Table!$B$49</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13D6-4391-82FA-9A5E4027EFE5}"/>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13D6-4391-82FA-9A5E4027EFE5}"/>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13D6-4391-82FA-9A5E4027EFE5}"/>
              </c:ext>
            </c:extLst>
          </c:dPt>
          <c:dLbls>
            <c:dLbl>
              <c:idx val="0"/>
              <c:layout>
                <c:manualLayout>
                  <c:x val="3.1050228310502283E-2"/>
                  <c:y val="2.7804110191848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3D6-4391-82FA-9A5E4027EFE5}"/>
                </c:ext>
              </c:extLst>
            </c:dLbl>
            <c:dLbl>
              <c:idx val="1"/>
              <c:layout>
                <c:manualLayout>
                  <c:x val="4.3835616438356095E-2"/>
                  <c:y val="-2.08530826438863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3D6-4391-82FA-9A5E4027EFE5}"/>
                </c:ext>
              </c:extLst>
            </c:dLbl>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Pivot_Table!$A$50:$A$53</c:f>
              <c:strCache>
                <c:ptCount val="3"/>
                <c:pt idx="0">
                  <c:v>Basic</c:v>
                </c:pt>
                <c:pt idx="1">
                  <c:v>Premium</c:v>
                </c:pt>
                <c:pt idx="2">
                  <c:v>Standard</c:v>
                </c:pt>
              </c:strCache>
            </c:strRef>
          </c:cat>
          <c:val>
            <c:numRef>
              <c:f>Pivot_Table!$B$50:$B$53</c:f>
              <c:numCache>
                <c:formatCode>General</c:formatCode>
                <c:ptCount val="3"/>
                <c:pt idx="0">
                  <c:v>62177.810000000019</c:v>
                </c:pt>
                <c:pt idx="1">
                  <c:v>84657.12000000001</c:v>
                </c:pt>
                <c:pt idx="2">
                  <c:v>82357.540000000037</c:v>
                </c:pt>
              </c:numCache>
            </c:numRef>
          </c:val>
          <c:extLst>
            <c:ext xmlns:c16="http://schemas.microsoft.com/office/drawing/2014/chart" uri="{C3380CC4-5D6E-409C-BE32-E72D297353CC}">
              <c16:uniqueId val="{00000006-13D6-4391-82FA-9A5E4027EFE5}"/>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[Final_Project_Excel_Pratik.xlsx]Pivot_Table!Product vs t_a</c:name>
    <c:fmtId val="2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a:t>Revenue By Product</a:t>
            </a:r>
          </a:p>
        </c:rich>
      </c:tx>
      <c:layout>
        <c:manualLayout>
          <c:xMode val="edge"/>
          <c:yMode val="edge"/>
          <c:x val="0.39245459621786893"/>
          <c:y val="6.2380991849702999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Pivot_Table!$A$36:$A$46</c:f>
              <c:strCache>
                <c:ptCount val="10"/>
                <c:pt idx="0">
                  <c:v>Laptop</c:v>
                </c:pt>
                <c:pt idx="1">
                  <c:v>Smartphone</c:v>
                </c:pt>
                <c:pt idx="2">
                  <c:v>Desk</c:v>
                </c:pt>
                <c:pt idx="3">
                  <c:v>Monitor</c:v>
                </c:pt>
                <c:pt idx="4">
                  <c:v>Bookshelf</c:v>
                </c:pt>
                <c:pt idx="5">
                  <c:v>Office Chair</c:v>
                </c:pt>
                <c:pt idx="6">
                  <c:v>Keyboard</c:v>
                </c:pt>
                <c:pt idx="7">
                  <c:v>Headphones</c:v>
                </c:pt>
                <c:pt idx="8">
                  <c:v>Blender</c:v>
                </c:pt>
                <c:pt idx="9">
                  <c:v>Coffee Maker</c:v>
                </c:pt>
              </c:strCache>
            </c:strRef>
          </c:cat>
          <c:val>
            <c:numRef>
              <c:f>Pivot_Table!$B$36:$B$46</c:f>
              <c:numCache>
                <c:formatCode>General</c:formatCode>
                <c:ptCount val="10"/>
                <c:pt idx="0">
                  <c:v>67499.25</c:v>
                </c:pt>
                <c:pt idx="1">
                  <c:v>67199.039999999994</c:v>
                </c:pt>
                <c:pt idx="2">
                  <c:v>23399.22</c:v>
                </c:pt>
                <c:pt idx="3">
                  <c:v>21999.119999999999</c:v>
                </c:pt>
                <c:pt idx="4">
                  <c:v>15298.979999999994</c:v>
                </c:pt>
                <c:pt idx="5">
                  <c:v>10399.479999999998</c:v>
                </c:pt>
                <c:pt idx="6">
                  <c:v>8009.1099999999969</c:v>
                </c:pt>
                <c:pt idx="7">
                  <c:v>7049.5299999999988</c:v>
                </c:pt>
                <c:pt idx="8">
                  <c:v>5219.1299999999974</c:v>
                </c:pt>
                <c:pt idx="9">
                  <c:v>3119.6099999999992</c:v>
                </c:pt>
              </c:numCache>
            </c:numRef>
          </c:val>
          <c:extLst>
            <c:ext xmlns:c16="http://schemas.microsoft.com/office/drawing/2014/chart" uri="{C3380CC4-5D6E-409C-BE32-E72D297353CC}">
              <c16:uniqueId val="{00000000-3FFB-4E9F-861D-37CE1EDF5A78}"/>
            </c:ext>
          </c:extLst>
        </c:ser>
        <c:dLbls>
          <c:dLblPos val="outEnd"/>
          <c:showLegendKey val="0"/>
          <c:showVal val="1"/>
          <c:showCatName val="0"/>
          <c:showSerName val="0"/>
          <c:showPercent val="0"/>
          <c:showBubbleSize val="0"/>
        </c:dLbls>
        <c:gapWidth val="219"/>
        <c:overlap val="-27"/>
        <c:axId val="595505824"/>
        <c:axId val="595509184"/>
      </c:barChart>
      <c:catAx>
        <c:axId val="59550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95509184"/>
        <c:crosses val="autoZero"/>
        <c:auto val="1"/>
        <c:lblAlgn val="ctr"/>
        <c:lblOffset val="100"/>
        <c:noMultiLvlLbl val="0"/>
      </c:catAx>
      <c:valAx>
        <c:axId val="595509184"/>
        <c:scaling>
          <c:orientation val="minMax"/>
        </c:scaling>
        <c:delete val="1"/>
        <c:axPos val="l"/>
        <c:numFmt formatCode="General" sourceLinked="1"/>
        <c:majorTickMark val="none"/>
        <c:minorTickMark val="none"/>
        <c:tickLblPos val="nextTo"/>
        <c:crossAx val="59550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[Final_Project_Excel_Pratik.xlsx]Pivot_Table!month vs t_a</c:name>
    <c:fmtId val="6"/>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a:t>Monthly Sales Trend</a:t>
            </a:r>
            <a:endParaRPr lang="en-US"/>
          </a:p>
        </c:rich>
      </c:tx>
      <c:layout>
        <c:manualLayout>
          <c:xMode val="edge"/>
          <c:yMode val="edge"/>
          <c:x val="0.44526321905074373"/>
          <c:y val="5.9272354904358907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Pivot_Table!$A$20:$B$32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Pivot_Table!$C$20:$C$32</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7399-4C19-BA76-1217272E5A2C}"/>
            </c:ext>
          </c:extLst>
        </c:ser>
        <c:dLbls>
          <c:dLblPos val="t"/>
          <c:showLegendKey val="0"/>
          <c:showVal val="1"/>
          <c:showCatName val="0"/>
          <c:showSerName val="0"/>
          <c:showPercent val="0"/>
          <c:showBubbleSize val="0"/>
        </c:dLbls>
        <c:marker val="1"/>
        <c:smooth val="0"/>
        <c:axId val="595512064"/>
        <c:axId val="595523104"/>
      </c:lineChart>
      <c:catAx>
        <c:axId val="59551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595523104"/>
        <c:crosses val="autoZero"/>
        <c:auto val="1"/>
        <c:lblAlgn val="ctr"/>
        <c:lblOffset val="100"/>
        <c:noMultiLvlLbl val="0"/>
      </c:catAx>
      <c:valAx>
        <c:axId val="5955231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9551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0.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shboard!A1"/><Relationship Id="rId5" Type="http://schemas.openxmlformats.org/officeDocument/2006/relationships/chart" Target="../charts/chart5.xml"/><Relationship Id="rId4" Type="http://schemas.openxmlformats.org/officeDocument/2006/relationships/chart" Target="../charts/chart4.xml"/></Relationships>
</file>

<file path=xl/drawings/_rels/drawing15.xml.rels><?xml version="1.0" encoding="UTF-8" standalone="yes"?>
<Relationships xmlns="http://schemas.openxmlformats.org/package/2006/relationships"><Relationship Id="rId8" Type="http://schemas.openxmlformats.org/officeDocument/2006/relationships/hyperlink" Target="#Task_3_CF!A1"/><Relationship Id="rId13" Type="http://schemas.openxmlformats.org/officeDocument/2006/relationships/hyperlink" Target="#'Task_8 HVC'!A1"/><Relationship Id="rId18" Type="http://schemas.openxmlformats.org/officeDocument/2006/relationships/hyperlink" Target="#Pivot_Table!A1"/><Relationship Id="rId3" Type="http://schemas.openxmlformats.org/officeDocument/2006/relationships/chart" Target="../charts/chart8.xml"/><Relationship Id="rId7" Type="http://schemas.openxmlformats.org/officeDocument/2006/relationships/hyperlink" Target="#Task_2_Fltr!A1"/><Relationship Id="rId12" Type="http://schemas.openxmlformats.org/officeDocument/2006/relationships/hyperlink" Target="#Task_7_DA!A1"/><Relationship Id="rId17" Type="http://schemas.openxmlformats.org/officeDocument/2006/relationships/hyperlink" Target="#Final_Report!A1"/><Relationship Id="rId2" Type="http://schemas.openxmlformats.org/officeDocument/2006/relationships/chart" Target="../charts/chart7.xml"/><Relationship Id="rId16" Type="http://schemas.openxmlformats.org/officeDocument/2006/relationships/hyperlink" Target="#Task_11_Abb!A1"/><Relationship Id="rId1" Type="http://schemas.openxmlformats.org/officeDocument/2006/relationships/chart" Target="../charts/chart6.xml"/><Relationship Id="rId6" Type="http://schemas.openxmlformats.org/officeDocument/2006/relationships/hyperlink" Target="#Task_1_DT!A1"/><Relationship Id="rId11" Type="http://schemas.openxmlformats.org/officeDocument/2006/relationships/hyperlink" Target="#'Scenario Summary'!A1"/><Relationship Id="rId5" Type="http://schemas.openxmlformats.org/officeDocument/2006/relationships/chart" Target="../charts/chart10.xml"/><Relationship Id="rId15" Type="http://schemas.openxmlformats.org/officeDocument/2006/relationships/hyperlink" Target="#Task_10_LC!A1"/><Relationship Id="rId10" Type="http://schemas.openxmlformats.org/officeDocument/2006/relationships/hyperlink" Target="#Task_5_WA!A1"/><Relationship Id="rId19" Type="http://schemas.openxmlformats.org/officeDocument/2006/relationships/image" Target="../media/image1.png"/><Relationship Id="rId4" Type="http://schemas.openxmlformats.org/officeDocument/2006/relationships/chart" Target="../charts/chart9.xml"/><Relationship Id="rId9" Type="http://schemas.openxmlformats.org/officeDocument/2006/relationships/hyperlink" Target="#Task_4_TS!A1"/><Relationship Id="rId14" Type="http://schemas.openxmlformats.org/officeDocument/2006/relationships/hyperlink" Target="#task_9FP!A1"/></Relationships>
</file>

<file path=xl/drawings/drawing1.xml><?xml version="1.0" encoding="utf-8"?>
<xdr:wsDr xmlns:xdr="http://schemas.openxmlformats.org/drawingml/2006/spreadsheetDrawing" xmlns:a="http://schemas.openxmlformats.org/drawingml/2006/main">
  <xdr:twoCellAnchor>
    <xdr:from>
      <xdr:col>5</xdr:col>
      <xdr:colOff>0</xdr:colOff>
      <xdr:row>3</xdr:row>
      <xdr:rowOff>0</xdr:rowOff>
    </xdr:from>
    <xdr:to>
      <xdr:col>7</xdr:col>
      <xdr:colOff>34376</xdr:colOff>
      <xdr:row>5</xdr:row>
      <xdr:rowOff>68752</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EA743E5-B57E-448D-AE30-898DF757C3E2}"/>
            </a:ext>
          </a:extLst>
        </xdr:cNvPr>
        <xdr:cNvSpPr/>
      </xdr:nvSpPr>
      <xdr:spPr>
        <a:xfrm>
          <a:off x="6393925" y="567203"/>
          <a:ext cx="2538090" cy="4354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17</xdr:col>
      <xdr:colOff>0</xdr:colOff>
      <xdr:row>2</xdr:row>
      <xdr:rowOff>0</xdr:rowOff>
    </xdr:from>
    <xdr:to>
      <xdr:col>21</xdr:col>
      <xdr:colOff>426720</xdr:colOff>
      <xdr:row>4</xdr:row>
      <xdr:rowOff>171450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162CD0A-AE5E-4F13-B499-EB3AD44CE79E}"/>
            </a:ext>
          </a:extLst>
        </xdr:cNvPr>
        <xdr:cNvSpPr/>
      </xdr:nvSpPr>
      <xdr:spPr>
        <a:xfrm>
          <a:off x="21021675" y="466725"/>
          <a:ext cx="2865120"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550688</xdr:colOff>
      <xdr:row>13</xdr:row>
      <xdr:rowOff>0</xdr:rowOff>
    </xdr:from>
    <xdr:to>
      <xdr:col>17</xdr:col>
      <xdr:colOff>3380973</xdr:colOff>
      <xdr:row>15</xdr:row>
      <xdr:rowOff>12807</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D71A198-6A9E-42BE-B05A-B8CE262FA5D3}"/>
            </a:ext>
          </a:extLst>
        </xdr:cNvPr>
        <xdr:cNvSpPr/>
      </xdr:nvSpPr>
      <xdr:spPr>
        <a:xfrm>
          <a:off x="24979512" y="2426874"/>
          <a:ext cx="2830285" cy="3842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2</xdr:row>
      <xdr:rowOff>50242</xdr:rowOff>
    </xdr:from>
    <xdr:to>
      <xdr:col>13</xdr:col>
      <xdr:colOff>66989</xdr:colOff>
      <xdr:row>4</xdr:row>
      <xdr:rowOff>175847</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9F4E2A02-41EA-4CAB-BFB9-49D080EA734C}"/>
            </a:ext>
          </a:extLst>
        </xdr:cNvPr>
        <xdr:cNvSpPr/>
      </xdr:nvSpPr>
      <xdr:spPr>
        <a:xfrm>
          <a:off x="11279275" y="435429"/>
          <a:ext cx="2512088" cy="4940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449580</xdr:colOff>
      <xdr:row>1</xdr:row>
      <xdr:rowOff>167640</xdr:rowOff>
    </xdr:from>
    <xdr:to>
      <xdr:col>7</xdr:col>
      <xdr:colOff>457200</xdr:colOff>
      <xdr:row>4</xdr:row>
      <xdr:rowOff>53340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1842379-714C-4E32-8107-0FF2E0D81E9B}"/>
            </a:ext>
          </a:extLst>
        </xdr:cNvPr>
        <xdr:cNvSpPr/>
      </xdr:nvSpPr>
      <xdr:spPr>
        <a:xfrm>
          <a:off x="4465320" y="365760"/>
          <a:ext cx="2446020" cy="441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0</xdr:colOff>
      <xdr:row>2</xdr:row>
      <xdr:rowOff>72572</xdr:rowOff>
    </xdr:from>
    <xdr:to>
      <xdr:col>13</xdr:col>
      <xdr:colOff>433977</xdr:colOff>
      <xdr:row>6</xdr:row>
      <xdr:rowOff>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FA88A91D-37A0-4042-9FD1-6D3899F6EC0C}"/>
            </a:ext>
          </a:extLst>
        </xdr:cNvPr>
        <xdr:cNvSpPr/>
      </xdr:nvSpPr>
      <xdr:spPr>
        <a:xfrm>
          <a:off x="6377214" y="462643"/>
          <a:ext cx="2865120" cy="4898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31</xdr:row>
      <xdr:rowOff>74082</xdr:rowOff>
    </xdr:from>
    <xdr:to>
      <xdr:col>8</xdr:col>
      <xdr:colOff>706120</xdr:colOff>
      <xdr:row>34</xdr:row>
      <xdr:rowOff>54933</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818CF9A-AA37-4EE7-82A7-0815711F3AFA}"/>
            </a:ext>
          </a:extLst>
        </xdr:cNvPr>
        <xdr:cNvSpPr/>
      </xdr:nvSpPr>
      <xdr:spPr>
        <a:xfrm>
          <a:off x="8096250" y="5725582"/>
          <a:ext cx="2865120" cy="5206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0</xdr:colOff>
      <xdr:row>13</xdr:row>
      <xdr:rowOff>34636</xdr:rowOff>
    </xdr:from>
    <xdr:to>
      <xdr:col>12</xdr:col>
      <xdr:colOff>8659</xdr:colOff>
      <xdr:row>16</xdr:row>
      <xdr:rowOff>49160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A4E5B612-5316-462A-905A-44766D4784C8}"/>
            </a:ext>
          </a:extLst>
        </xdr:cNvPr>
        <xdr:cNvSpPr/>
      </xdr:nvSpPr>
      <xdr:spPr>
        <a:xfrm>
          <a:off x="9057409" y="2433204"/>
          <a:ext cx="2537114" cy="5600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11</xdr:col>
      <xdr:colOff>0</xdr:colOff>
      <xdr:row>16</xdr:row>
      <xdr:rowOff>84666</xdr:rowOff>
    </xdr:from>
    <xdr:to>
      <xdr:col>14</xdr:col>
      <xdr:colOff>245534</xdr:colOff>
      <xdr:row>19</xdr:row>
      <xdr:rowOff>35884</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DC150AF7-0C75-4BC7-A5E7-24F29D223524}"/>
            </a:ext>
          </a:extLst>
        </xdr:cNvPr>
        <xdr:cNvSpPr/>
      </xdr:nvSpPr>
      <xdr:spPr>
        <a:xfrm>
          <a:off x="12505267" y="3064933"/>
          <a:ext cx="2489200" cy="51001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0</xdr:colOff>
      <xdr:row>2</xdr:row>
      <xdr:rowOff>144780</xdr:rowOff>
    </xdr:from>
    <xdr:to>
      <xdr:col>14</xdr:col>
      <xdr:colOff>266700</xdr:colOff>
      <xdr:row>5</xdr:row>
      <xdr:rowOff>46044</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C4CDC26-3E6F-45DB-B73E-7A4AE70CB1DC}"/>
            </a:ext>
          </a:extLst>
        </xdr:cNvPr>
        <xdr:cNvSpPr/>
      </xdr:nvSpPr>
      <xdr:spPr>
        <a:xfrm>
          <a:off x="8846820" y="525780"/>
          <a:ext cx="2705100" cy="4499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110614</xdr:colOff>
      <xdr:row>3</xdr:row>
      <xdr:rowOff>7257</xdr:rowOff>
    </xdr:from>
    <xdr:to>
      <xdr:col>11</xdr:col>
      <xdr:colOff>14516</xdr:colOff>
      <xdr:row>5</xdr:row>
      <xdr:rowOff>159774</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8CFF1A2-667F-4EB1-80AE-2305CDB80FA2}"/>
            </a:ext>
          </a:extLst>
        </xdr:cNvPr>
        <xdr:cNvSpPr/>
      </xdr:nvSpPr>
      <xdr:spPr>
        <a:xfrm>
          <a:off x="9327185" y="566057"/>
          <a:ext cx="2951902" cy="5153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14</xdr:col>
      <xdr:colOff>7620</xdr:colOff>
      <xdr:row>13</xdr:row>
      <xdr:rowOff>30480</xdr:rowOff>
    </xdr:from>
    <xdr:to>
      <xdr:col>16</xdr:col>
      <xdr:colOff>396240</xdr:colOff>
      <xdr:row>15</xdr:row>
      <xdr:rowOff>121920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6E3F0D44-F73A-424B-AD81-92600E921FF6}"/>
            </a:ext>
          </a:extLst>
        </xdr:cNvPr>
        <xdr:cNvSpPr/>
      </xdr:nvSpPr>
      <xdr:spPr>
        <a:xfrm>
          <a:off x="16314420" y="2423160"/>
          <a:ext cx="2659380"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1296908</xdr:colOff>
      <xdr:row>29</xdr:row>
      <xdr:rowOff>171227</xdr:rowOff>
    </xdr:from>
    <xdr:to>
      <xdr:col>8</xdr:col>
      <xdr:colOff>95250</xdr:colOff>
      <xdr:row>32</xdr:row>
      <xdr:rowOff>103909</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D1B90C44-201A-4D02-8FA2-6A5403F0CF3B}"/>
            </a:ext>
          </a:extLst>
        </xdr:cNvPr>
        <xdr:cNvSpPr/>
      </xdr:nvSpPr>
      <xdr:spPr>
        <a:xfrm>
          <a:off x="6717499" y="5461932"/>
          <a:ext cx="3205819" cy="4782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29497</xdr:colOff>
      <xdr:row>0</xdr:row>
      <xdr:rowOff>0</xdr:rowOff>
    </xdr:from>
    <xdr:to>
      <xdr:col>7</xdr:col>
      <xdr:colOff>602226</xdr:colOff>
      <xdr:row>10</xdr:row>
      <xdr:rowOff>157685</xdr:rowOff>
    </xdr:to>
    <xdr:graphicFrame macro="">
      <xdr:nvGraphicFramePr>
        <xdr:cNvPr id="3" name="Chart 2">
          <a:extLst>
            <a:ext uri="{FF2B5EF4-FFF2-40B4-BE49-F238E27FC236}">
              <a16:creationId xmlns:a16="http://schemas.microsoft.com/office/drawing/2014/main" id="{DA953F67-7660-4686-E245-EAFE1747E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33184</xdr:colOff>
      <xdr:row>11</xdr:row>
      <xdr:rowOff>5777</xdr:rowOff>
    </xdr:from>
    <xdr:to>
      <xdr:col>7</xdr:col>
      <xdr:colOff>577645</xdr:colOff>
      <xdr:row>20</xdr:row>
      <xdr:rowOff>94881</xdr:rowOff>
    </xdr:to>
    <xdr:graphicFrame macro="">
      <xdr:nvGraphicFramePr>
        <xdr:cNvPr id="4" name="Chart 3">
          <a:extLst>
            <a:ext uri="{FF2B5EF4-FFF2-40B4-BE49-F238E27FC236}">
              <a16:creationId xmlns:a16="http://schemas.microsoft.com/office/drawing/2014/main" id="{91CB47DC-44C7-612F-6A38-72D3F9053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14748</xdr:colOff>
      <xdr:row>20</xdr:row>
      <xdr:rowOff>94020</xdr:rowOff>
    </xdr:from>
    <xdr:to>
      <xdr:col>7</xdr:col>
      <xdr:colOff>577645</xdr:colOff>
      <xdr:row>33</xdr:row>
      <xdr:rowOff>110613</xdr:rowOff>
    </xdr:to>
    <xdr:graphicFrame macro="">
      <xdr:nvGraphicFramePr>
        <xdr:cNvPr id="5" name="Chart 4">
          <a:extLst>
            <a:ext uri="{FF2B5EF4-FFF2-40B4-BE49-F238E27FC236}">
              <a16:creationId xmlns:a16="http://schemas.microsoft.com/office/drawing/2014/main" id="{E38B346E-BD46-3CD6-6F9E-73A5B511D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1326125</xdr:colOff>
      <xdr:row>33</xdr:row>
      <xdr:rowOff>154244</xdr:rowOff>
    </xdr:from>
    <xdr:to>
      <xdr:col>7</xdr:col>
      <xdr:colOff>589936</xdr:colOff>
      <xdr:row>45</xdr:row>
      <xdr:rowOff>172064</xdr:rowOff>
    </xdr:to>
    <xdr:graphicFrame macro="">
      <xdr:nvGraphicFramePr>
        <xdr:cNvPr id="6" name="Chart 5">
          <a:extLst>
            <a:ext uri="{FF2B5EF4-FFF2-40B4-BE49-F238E27FC236}">
              <a16:creationId xmlns:a16="http://schemas.microsoft.com/office/drawing/2014/main" id="{E3D11714-B572-1E8C-B0AE-9F7C0431B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245</xdr:colOff>
      <xdr:row>46</xdr:row>
      <xdr:rowOff>12289</xdr:rowOff>
    </xdr:from>
    <xdr:to>
      <xdr:col>7</xdr:col>
      <xdr:colOff>577645</xdr:colOff>
      <xdr:row>57</xdr:row>
      <xdr:rowOff>99920</xdr:rowOff>
    </xdr:to>
    <xdr:graphicFrame macro="">
      <xdr:nvGraphicFramePr>
        <xdr:cNvPr id="7" name="Chart 6">
          <a:extLst>
            <a:ext uri="{FF2B5EF4-FFF2-40B4-BE49-F238E27FC236}">
              <a16:creationId xmlns:a16="http://schemas.microsoft.com/office/drawing/2014/main" id="{C9732975-5747-624E-82DC-1EED24DB3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606405</xdr:colOff>
      <xdr:row>9</xdr:row>
      <xdr:rowOff>43261</xdr:rowOff>
    </xdr:from>
    <xdr:to>
      <xdr:col>12</xdr:col>
      <xdr:colOff>591657</xdr:colOff>
      <xdr:row>15</xdr:row>
      <xdr:rowOff>135193</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7F1C3609-BE4A-6140-95FA-3A874FCAC68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139211" y="1702455"/>
              <a:ext cx="1828800" cy="1198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29496</xdr:colOff>
      <xdr:row>0</xdr:row>
      <xdr:rowOff>0</xdr:rowOff>
    </xdr:from>
    <xdr:to>
      <xdr:col>13</xdr:col>
      <xdr:colOff>14748</xdr:colOff>
      <xdr:row>9</xdr:row>
      <xdr:rowOff>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2B9F4F80-BE0D-A6BD-945F-A7470D282E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76819" y="0"/>
              <a:ext cx="1828800" cy="1659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73250</xdr:colOff>
      <xdr:row>0</xdr:row>
      <xdr:rowOff>0</xdr:rowOff>
    </xdr:from>
    <xdr:to>
      <xdr:col>18</xdr:col>
      <xdr:colOff>338229</xdr:colOff>
      <xdr:row>7</xdr:row>
      <xdr:rowOff>81116</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C0F82D97-2E81-AEC7-CFC5-89FB27E2B27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3064121" y="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110613</xdr:colOff>
      <xdr:row>35</xdr:row>
      <xdr:rowOff>110613</xdr:rowOff>
    </xdr:from>
    <xdr:to>
      <xdr:col>16</xdr:col>
      <xdr:colOff>12290</xdr:colOff>
      <xdr:row>38</xdr:row>
      <xdr:rowOff>159774</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D7DC3EF7-062E-AF29-A6F7-0F10341AAE3E}"/>
            </a:ext>
          </a:extLst>
        </xdr:cNvPr>
        <xdr:cNvSpPr/>
      </xdr:nvSpPr>
      <xdr:spPr>
        <a:xfrm>
          <a:off x="11171903" y="6563032"/>
          <a:ext cx="3588774" cy="6022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22</xdr:col>
      <xdr:colOff>355022</xdr:colOff>
      <xdr:row>9</xdr:row>
      <xdr:rowOff>8662</xdr:rowOff>
    </xdr:from>
    <xdr:to>
      <xdr:col>34</xdr:col>
      <xdr:colOff>17325</xdr:colOff>
      <xdr:row>31</xdr:row>
      <xdr:rowOff>8662</xdr:rowOff>
    </xdr:to>
    <xdr:graphicFrame macro="">
      <xdr:nvGraphicFramePr>
        <xdr:cNvPr id="2" name="Chart 1">
          <a:extLst>
            <a:ext uri="{FF2B5EF4-FFF2-40B4-BE49-F238E27FC236}">
              <a16:creationId xmlns:a16="http://schemas.microsoft.com/office/drawing/2014/main" id="{6BB9B0D3-394C-409C-BE9A-A9CDDEB0E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606135</xdr:colOff>
      <xdr:row>9</xdr:row>
      <xdr:rowOff>5</xdr:rowOff>
    </xdr:from>
    <xdr:to>
      <xdr:col>21</xdr:col>
      <xdr:colOff>285751</xdr:colOff>
      <xdr:row>31</xdr:row>
      <xdr:rowOff>8663</xdr:rowOff>
    </xdr:to>
    <xdr:graphicFrame macro="">
      <xdr:nvGraphicFramePr>
        <xdr:cNvPr id="3" name="Chart 2">
          <a:extLst>
            <a:ext uri="{FF2B5EF4-FFF2-40B4-BE49-F238E27FC236}">
              <a16:creationId xmlns:a16="http://schemas.microsoft.com/office/drawing/2014/main" id="{7566E3D6-51BC-4C13-A1FA-266A344C0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946</xdr:colOff>
      <xdr:row>33</xdr:row>
      <xdr:rowOff>10890</xdr:rowOff>
    </xdr:from>
    <xdr:to>
      <xdr:col>21</xdr:col>
      <xdr:colOff>285750</xdr:colOff>
      <xdr:row>52</xdr:row>
      <xdr:rowOff>174176</xdr:rowOff>
    </xdr:to>
    <xdr:graphicFrame macro="">
      <xdr:nvGraphicFramePr>
        <xdr:cNvPr id="4" name="Chart 3">
          <a:extLst>
            <a:ext uri="{FF2B5EF4-FFF2-40B4-BE49-F238E27FC236}">
              <a16:creationId xmlns:a16="http://schemas.microsoft.com/office/drawing/2014/main" id="{41EFFC58-30D9-4669-8452-A565D0FE9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346364</xdr:colOff>
      <xdr:row>33</xdr:row>
      <xdr:rowOff>19549</xdr:rowOff>
    </xdr:from>
    <xdr:to>
      <xdr:col>34</xdr:col>
      <xdr:colOff>8659</xdr:colOff>
      <xdr:row>52</xdr:row>
      <xdr:rowOff>182835</xdr:rowOff>
    </xdr:to>
    <xdr:graphicFrame macro="">
      <xdr:nvGraphicFramePr>
        <xdr:cNvPr id="5" name="Chart 4">
          <a:extLst>
            <a:ext uri="{FF2B5EF4-FFF2-40B4-BE49-F238E27FC236}">
              <a16:creationId xmlns:a16="http://schemas.microsoft.com/office/drawing/2014/main" id="{DB849BCC-C645-4B89-8668-1097F7088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54</xdr:row>
      <xdr:rowOff>174176</xdr:rowOff>
    </xdr:from>
    <xdr:to>
      <xdr:col>34</xdr:col>
      <xdr:colOff>0</xdr:colOff>
      <xdr:row>73</xdr:row>
      <xdr:rowOff>2974</xdr:rowOff>
    </xdr:to>
    <xdr:graphicFrame macro="">
      <xdr:nvGraphicFramePr>
        <xdr:cNvPr id="6" name="Chart 5">
          <a:extLst>
            <a:ext uri="{FF2B5EF4-FFF2-40B4-BE49-F238E27FC236}">
              <a16:creationId xmlns:a16="http://schemas.microsoft.com/office/drawing/2014/main" id="{EDC3E826-BBA0-4757-9CDE-C0754DD11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13212</xdr:colOff>
      <xdr:row>18</xdr:row>
      <xdr:rowOff>13369</xdr:rowOff>
    </xdr:from>
    <xdr:to>
      <xdr:col>6</xdr:col>
      <xdr:colOff>85369</xdr:colOff>
      <xdr:row>31</xdr:row>
      <xdr:rowOff>16564</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73C26B51-3E90-4B13-80F3-25FEAE7DBCE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842012" y="3213769"/>
              <a:ext cx="1900957" cy="2332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608640</xdr:colOff>
      <xdr:row>9</xdr:row>
      <xdr:rowOff>6922</xdr:rowOff>
    </xdr:from>
    <xdr:to>
      <xdr:col>9</xdr:col>
      <xdr:colOff>271895</xdr:colOff>
      <xdr:row>16</xdr:row>
      <xdr:rowOff>162532</xdr:rowOff>
    </xdr:to>
    <mc:AlternateContent xmlns:mc="http://schemas.openxmlformats.org/markup-compatibility/2006">
      <mc:Choice xmlns:tsle="http://schemas.microsoft.com/office/drawing/2012/timeslicer" Requires="tsle">
        <xdr:graphicFrame macro="">
          <xdr:nvGraphicFramePr>
            <xdr:cNvPr id="10" name="Date 1">
              <a:extLst>
                <a:ext uri="{FF2B5EF4-FFF2-40B4-BE49-F238E27FC236}">
                  <a16:creationId xmlns:a16="http://schemas.microsoft.com/office/drawing/2014/main" id="{DAA10B13-E55B-4976-99B0-917917274D5C}"/>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827840" y="1596236"/>
              <a:ext cx="3930455" cy="14183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249043</xdr:colOff>
      <xdr:row>18</xdr:row>
      <xdr:rowOff>4338</xdr:rowOff>
    </xdr:from>
    <xdr:to>
      <xdr:col>9</xdr:col>
      <xdr:colOff>280841</xdr:colOff>
      <xdr:row>31</xdr:row>
      <xdr:rowOff>16564</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E1B77C71-07FC-4A2E-BACD-5D9E919BF7B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906643" y="3204738"/>
              <a:ext cx="1860598" cy="2341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607613</xdr:colOff>
      <xdr:row>33</xdr:row>
      <xdr:rowOff>1</xdr:rowOff>
    </xdr:from>
    <xdr:to>
      <xdr:col>9</xdr:col>
      <xdr:colOff>284590</xdr:colOff>
      <xdr:row>35</xdr:row>
      <xdr:rowOff>8282</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C55F497C-FC78-4601-D958-22A9234E8B8D}"/>
            </a:ext>
          </a:extLst>
        </xdr:cNvPr>
        <xdr:cNvSpPr/>
      </xdr:nvSpPr>
      <xdr:spPr>
        <a:xfrm>
          <a:off x="1217213" y="6050281"/>
          <a:ext cx="3944177" cy="3740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1</a:t>
          </a:r>
          <a:endParaRPr lang="en-IN" sz="2000"/>
        </a:p>
      </xdr:txBody>
    </xdr:sp>
    <xdr:clientData/>
  </xdr:twoCellAnchor>
  <xdr:twoCellAnchor>
    <xdr:from>
      <xdr:col>3</xdr:col>
      <xdr:colOff>2284</xdr:colOff>
      <xdr:row>36</xdr:row>
      <xdr:rowOff>7304</xdr:rowOff>
    </xdr:from>
    <xdr:to>
      <xdr:col>9</xdr:col>
      <xdr:colOff>288861</xdr:colOff>
      <xdr:row>38</xdr:row>
      <xdr:rowOff>15584</xdr:rowOff>
    </xdr:to>
    <xdr:sp macro="" textlink="">
      <xdr:nvSpPr>
        <xdr:cNvPr id="15" name="Rectangle: Rounded Corners 14">
          <a:hlinkClick xmlns:r="http://schemas.openxmlformats.org/officeDocument/2006/relationships" r:id="rId7"/>
          <a:extLst>
            <a:ext uri="{FF2B5EF4-FFF2-40B4-BE49-F238E27FC236}">
              <a16:creationId xmlns:a16="http://schemas.microsoft.com/office/drawing/2014/main" id="{EF726E87-F210-4117-9C02-9C17F0C2A4C3}"/>
            </a:ext>
          </a:extLst>
        </xdr:cNvPr>
        <xdr:cNvSpPr/>
      </xdr:nvSpPr>
      <xdr:spPr>
        <a:xfrm>
          <a:off x="1221484" y="6606224"/>
          <a:ext cx="3944177" cy="374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2</a:t>
          </a:r>
          <a:endParaRPr lang="en-IN" sz="2000"/>
        </a:p>
      </xdr:txBody>
    </xdr:sp>
    <xdr:clientData/>
  </xdr:twoCellAnchor>
  <xdr:twoCellAnchor>
    <xdr:from>
      <xdr:col>3</xdr:col>
      <xdr:colOff>3101</xdr:colOff>
      <xdr:row>39</xdr:row>
      <xdr:rowOff>8128</xdr:rowOff>
    </xdr:from>
    <xdr:to>
      <xdr:col>9</xdr:col>
      <xdr:colOff>289678</xdr:colOff>
      <xdr:row>41</xdr:row>
      <xdr:rowOff>16409</xdr:rowOff>
    </xdr:to>
    <xdr:sp macro="" textlink="">
      <xdr:nvSpPr>
        <xdr:cNvPr id="16" name="Rectangle: Rounded Corners 15">
          <a:hlinkClick xmlns:r="http://schemas.openxmlformats.org/officeDocument/2006/relationships" r:id="rId8"/>
          <a:extLst>
            <a:ext uri="{FF2B5EF4-FFF2-40B4-BE49-F238E27FC236}">
              <a16:creationId xmlns:a16="http://schemas.microsoft.com/office/drawing/2014/main" id="{061C8C4F-034B-4EC8-95A9-62E74A1B7324}"/>
            </a:ext>
          </a:extLst>
        </xdr:cNvPr>
        <xdr:cNvSpPr/>
      </xdr:nvSpPr>
      <xdr:spPr>
        <a:xfrm>
          <a:off x="1222301" y="7155688"/>
          <a:ext cx="3944177" cy="3740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3</a:t>
          </a:r>
          <a:endParaRPr lang="en-IN" sz="2000"/>
        </a:p>
      </xdr:txBody>
    </xdr:sp>
    <xdr:clientData/>
  </xdr:twoCellAnchor>
  <xdr:twoCellAnchor>
    <xdr:from>
      <xdr:col>3</xdr:col>
      <xdr:colOff>3913</xdr:colOff>
      <xdr:row>42</xdr:row>
      <xdr:rowOff>4858</xdr:rowOff>
    </xdr:from>
    <xdr:to>
      <xdr:col>9</xdr:col>
      <xdr:colOff>290490</xdr:colOff>
      <xdr:row>44</xdr:row>
      <xdr:rowOff>13138</xdr:rowOff>
    </xdr:to>
    <xdr:sp macro="" textlink="">
      <xdr:nvSpPr>
        <xdr:cNvPr id="17" name="Rectangle: Rounded Corners 16">
          <a:hlinkClick xmlns:r="http://schemas.openxmlformats.org/officeDocument/2006/relationships" r:id="rId9"/>
          <a:extLst>
            <a:ext uri="{FF2B5EF4-FFF2-40B4-BE49-F238E27FC236}">
              <a16:creationId xmlns:a16="http://schemas.microsoft.com/office/drawing/2014/main" id="{8AAE1385-B182-477C-9E33-D63E9C50284F}"/>
            </a:ext>
          </a:extLst>
        </xdr:cNvPr>
        <xdr:cNvSpPr/>
      </xdr:nvSpPr>
      <xdr:spPr>
        <a:xfrm>
          <a:off x="1223113" y="7701058"/>
          <a:ext cx="3944177" cy="374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4</a:t>
          </a:r>
          <a:endParaRPr lang="en-IN" sz="2000"/>
        </a:p>
      </xdr:txBody>
    </xdr:sp>
    <xdr:clientData/>
  </xdr:twoCellAnchor>
  <xdr:twoCellAnchor>
    <xdr:from>
      <xdr:col>3</xdr:col>
      <xdr:colOff>8825</xdr:colOff>
      <xdr:row>45</xdr:row>
      <xdr:rowOff>9772</xdr:rowOff>
    </xdr:from>
    <xdr:to>
      <xdr:col>9</xdr:col>
      <xdr:colOff>295402</xdr:colOff>
      <xdr:row>47</xdr:row>
      <xdr:rowOff>18053</xdr:rowOff>
    </xdr:to>
    <xdr:sp macro="" textlink="">
      <xdr:nvSpPr>
        <xdr:cNvPr id="18" name="Rectangle: Rounded Corners 17">
          <a:hlinkClick xmlns:r="http://schemas.openxmlformats.org/officeDocument/2006/relationships" r:id="rId10"/>
          <a:extLst>
            <a:ext uri="{FF2B5EF4-FFF2-40B4-BE49-F238E27FC236}">
              <a16:creationId xmlns:a16="http://schemas.microsoft.com/office/drawing/2014/main" id="{BF2F687C-F3A7-408B-BA4A-42E4C85BCAF9}"/>
            </a:ext>
          </a:extLst>
        </xdr:cNvPr>
        <xdr:cNvSpPr/>
      </xdr:nvSpPr>
      <xdr:spPr>
        <a:xfrm>
          <a:off x="1228025" y="8254612"/>
          <a:ext cx="3944177" cy="3740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5</a:t>
          </a:r>
          <a:endParaRPr lang="en-IN" sz="2000"/>
        </a:p>
      </xdr:txBody>
    </xdr:sp>
    <xdr:clientData/>
  </xdr:twoCellAnchor>
  <xdr:twoCellAnchor>
    <xdr:from>
      <xdr:col>3</xdr:col>
      <xdr:colOff>8316</xdr:colOff>
      <xdr:row>48</xdr:row>
      <xdr:rowOff>13858</xdr:rowOff>
    </xdr:from>
    <xdr:to>
      <xdr:col>9</xdr:col>
      <xdr:colOff>294893</xdr:colOff>
      <xdr:row>50</xdr:row>
      <xdr:rowOff>22138</xdr:rowOff>
    </xdr:to>
    <xdr:sp macro="" textlink="">
      <xdr:nvSpPr>
        <xdr:cNvPr id="32" name="Rectangle: Rounded Corners 31">
          <a:hlinkClick xmlns:r="http://schemas.openxmlformats.org/officeDocument/2006/relationships" r:id="rId11"/>
          <a:extLst>
            <a:ext uri="{FF2B5EF4-FFF2-40B4-BE49-F238E27FC236}">
              <a16:creationId xmlns:a16="http://schemas.microsoft.com/office/drawing/2014/main" id="{30F03E02-D1C3-4D99-97E9-C42C8A328DCB}"/>
            </a:ext>
          </a:extLst>
        </xdr:cNvPr>
        <xdr:cNvSpPr/>
      </xdr:nvSpPr>
      <xdr:spPr>
        <a:xfrm>
          <a:off x="1227516" y="8807338"/>
          <a:ext cx="3944177" cy="374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6</a:t>
          </a:r>
          <a:endParaRPr lang="en-IN" sz="2000"/>
        </a:p>
      </xdr:txBody>
    </xdr:sp>
    <xdr:clientData/>
  </xdr:twoCellAnchor>
  <xdr:twoCellAnchor>
    <xdr:from>
      <xdr:col>3</xdr:col>
      <xdr:colOff>4967</xdr:colOff>
      <xdr:row>51</xdr:row>
      <xdr:rowOff>21160</xdr:rowOff>
    </xdr:from>
    <xdr:to>
      <xdr:col>9</xdr:col>
      <xdr:colOff>291544</xdr:colOff>
      <xdr:row>53</xdr:row>
      <xdr:rowOff>29440</xdr:rowOff>
    </xdr:to>
    <xdr:sp macro="" textlink="">
      <xdr:nvSpPr>
        <xdr:cNvPr id="33" name="Rectangle: Rounded Corners 32">
          <a:hlinkClick xmlns:r="http://schemas.openxmlformats.org/officeDocument/2006/relationships" r:id="rId12"/>
          <a:extLst>
            <a:ext uri="{FF2B5EF4-FFF2-40B4-BE49-F238E27FC236}">
              <a16:creationId xmlns:a16="http://schemas.microsoft.com/office/drawing/2014/main" id="{70B8AEA6-FA12-4508-B91A-1CEB065D14FC}"/>
            </a:ext>
          </a:extLst>
        </xdr:cNvPr>
        <xdr:cNvSpPr/>
      </xdr:nvSpPr>
      <xdr:spPr>
        <a:xfrm>
          <a:off x="1224167" y="9363280"/>
          <a:ext cx="3944177" cy="374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7</a:t>
          </a:r>
          <a:endParaRPr lang="en-IN" sz="2000"/>
        </a:p>
      </xdr:txBody>
    </xdr:sp>
    <xdr:clientData/>
  </xdr:twoCellAnchor>
  <xdr:twoCellAnchor>
    <xdr:from>
      <xdr:col>3</xdr:col>
      <xdr:colOff>5784</xdr:colOff>
      <xdr:row>54</xdr:row>
      <xdr:rowOff>21985</xdr:rowOff>
    </xdr:from>
    <xdr:to>
      <xdr:col>9</xdr:col>
      <xdr:colOff>292361</xdr:colOff>
      <xdr:row>56</xdr:row>
      <xdr:rowOff>30266</xdr:rowOff>
    </xdr:to>
    <xdr:sp macro="" textlink="">
      <xdr:nvSpPr>
        <xdr:cNvPr id="34" name="Rectangle: Rounded Corners 33">
          <a:hlinkClick xmlns:r="http://schemas.openxmlformats.org/officeDocument/2006/relationships" r:id="rId13"/>
          <a:extLst>
            <a:ext uri="{FF2B5EF4-FFF2-40B4-BE49-F238E27FC236}">
              <a16:creationId xmlns:a16="http://schemas.microsoft.com/office/drawing/2014/main" id="{0B0D408E-BFD7-4CD3-9A51-33EBAB06855A}"/>
            </a:ext>
          </a:extLst>
        </xdr:cNvPr>
        <xdr:cNvSpPr/>
      </xdr:nvSpPr>
      <xdr:spPr>
        <a:xfrm>
          <a:off x="1224984" y="9912745"/>
          <a:ext cx="3944177" cy="3740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8</a:t>
          </a:r>
          <a:endParaRPr lang="en-IN" sz="2000"/>
        </a:p>
      </xdr:txBody>
    </xdr:sp>
    <xdr:clientData/>
  </xdr:twoCellAnchor>
  <xdr:twoCellAnchor>
    <xdr:from>
      <xdr:col>3</xdr:col>
      <xdr:colOff>6596</xdr:colOff>
      <xdr:row>57</xdr:row>
      <xdr:rowOff>18715</xdr:rowOff>
    </xdr:from>
    <xdr:to>
      <xdr:col>9</xdr:col>
      <xdr:colOff>293173</xdr:colOff>
      <xdr:row>59</xdr:row>
      <xdr:rowOff>26995</xdr:rowOff>
    </xdr:to>
    <xdr:sp macro="" textlink="">
      <xdr:nvSpPr>
        <xdr:cNvPr id="35" name="Rectangle: Rounded Corners 34">
          <a:hlinkClick xmlns:r="http://schemas.openxmlformats.org/officeDocument/2006/relationships" r:id="rId14"/>
          <a:extLst>
            <a:ext uri="{FF2B5EF4-FFF2-40B4-BE49-F238E27FC236}">
              <a16:creationId xmlns:a16="http://schemas.microsoft.com/office/drawing/2014/main" id="{5DDC7941-A876-4E3B-B2BC-C97C87C5B061}"/>
            </a:ext>
          </a:extLst>
        </xdr:cNvPr>
        <xdr:cNvSpPr/>
      </xdr:nvSpPr>
      <xdr:spPr>
        <a:xfrm>
          <a:off x="1225796" y="10458115"/>
          <a:ext cx="3944177" cy="374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9</a:t>
          </a:r>
          <a:endParaRPr lang="en-IN" sz="2000"/>
        </a:p>
      </xdr:txBody>
    </xdr:sp>
    <xdr:clientData/>
  </xdr:twoCellAnchor>
  <xdr:twoCellAnchor>
    <xdr:from>
      <xdr:col>3</xdr:col>
      <xdr:colOff>3888</xdr:colOff>
      <xdr:row>60</xdr:row>
      <xdr:rowOff>23629</xdr:rowOff>
    </xdr:from>
    <xdr:to>
      <xdr:col>9</xdr:col>
      <xdr:colOff>290465</xdr:colOff>
      <xdr:row>62</xdr:row>
      <xdr:rowOff>31909</xdr:rowOff>
    </xdr:to>
    <xdr:sp macro="" textlink="">
      <xdr:nvSpPr>
        <xdr:cNvPr id="36" name="Rectangle: Rounded Corners 35">
          <a:hlinkClick xmlns:r="http://schemas.openxmlformats.org/officeDocument/2006/relationships" r:id="rId15"/>
          <a:extLst>
            <a:ext uri="{FF2B5EF4-FFF2-40B4-BE49-F238E27FC236}">
              <a16:creationId xmlns:a16="http://schemas.microsoft.com/office/drawing/2014/main" id="{91423F00-4758-4C8B-AF66-7C5B6DDE8DE2}"/>
            </a:ext>
          </a:extLst>
        </xdr:cNvPr>
        <xdr:cNvSpPr/>
      </xdr:nvSpPr>
      <xdr:spPr>
        <a:xfrm>
          <a:off x="1223088" y="11011669"/>
          <a:ext cx="3944177" cy="374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10</a:t>
          </a:r>
          <a:endParaRPr lang="en-IN" sz="2000"/>
        </a:p>
      </xdr:txBody>
    </xdr:sp>
    <xdr:clientData/>
  </xdr:twoCellAnchor>
  <xdr:twoCellAnchor>
    <xdr:from>
      <xdr:col>3</xdr:col>
      <xdr:colOff>6925</xdr:colOff>
      <xdr:row>63</xdr:row>
      <xdr:rowOff>13851</xdr:rowOff>
    </xdr:from>
    <xdr:to>
      <xdr:col>9</xdr:col>
      <xdr:colOff>293502</xdr:colOff>
      <xdr:row>65</xdr:row>
      <xdr:rowOff>22132</xdr:rowOff>
    </xdr:to>
    <xdr:sp macro="" textlink="">
      <xdr:nvSpPr>
        <xdr:cNvPr id="37" name="Rectangle: Rounded Corners 36">
          <a:hlinkClick xmlns:r="http://schemas.openxmlformats.org/officeDocument/2006/relationships" r:id="rId16"/>
          <a:extLst>
            <a:ext uri="{FF2B5EF4-FFF2-40B4-BE49-F238E27FC236}">
              <a16:creationId xmlns:a16="http://schemas.microsoft.com/office/drawing/2014/main" id="{53526BE5-858C-492C-B5C7-CDD92715BBAF}"/>
            </a:ext>
          </a:extLst>
        </xdr:cNvPr>
        <xdr:cNvSpPr/>
      </xdr:nvSpPr>
      <xdr:spPr>
        <a:xfrm>
          <a:off x="1226125" y="11550531"/>
          <a:ext cx="3944177" cy="3740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11</a:t>
          </a:r>
          <a:endParaRPr lang="en-IN" sz="2000"/>
        </a:p>
      </xdr:txBody>
    </xdr:sp>
    <xdr:clientData/>
  </xdr:twoCellAnchor>
  <xdr:twoCellAnchor>
    <xdr:from>
      <xdr:col>3</xdr:col>
      <xdr:colOff>11196</xdr:colOff>
      <xdr:row>66</xdr:row>
      <xdr:rowOff>21154</xdr:rowOff>
    </xdr:from>
    <xdr:to>
      <xdr:col>9</xdr:col>
      <xdr:colOff>297773</xdr:colOff>
      <xdr:row>68</xdr:row>
      <xdr:rowOff>29434</xdr:rowOff>
    </xdr:to>
    <xdr:sp macro="" textlink="">
      <xdr:nvSpPr>
        <xdr:cNvPr id="38" name="Rectangle: Rounded Corners 37">
          <a:hlinkClick xmlns:r="http://schemas.openxmlformats.org/officeDocument/2006/relationships" r:id="rId11"/>
          <a:extLst>
            <a:ext uri="{FF2B5EF4-FFF2-40B4-BE49-F238E27FC236}">
              <a16:creationId xmlns:a16="http://schemas.microsoft.com/office/drawing/2014/main" id="{95F38866-D9DE-4659-8235-EDBFD71D2A7C}"/>
            </a:ext>
          </a:extLst>
        </xdr:cNvPr>
        <xdr:cNvSpPr/>
      </xdr:nvSpPr>
      <xdr:spPr>
        <a:xfrm>
          <a:off x="1230396" y="12106474"/>
          <a:ext cx="3944177" cy="374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Scenario</a:t>
          </a:r>
          <a:r>
            <a:rPr lang="en-IN" sz="2000" baseline="0"/>
            <a:t> Summary</a:t>
          </a:r>
          <a:endParaRPr lang="en-IN" sz="2000"/>
        </a:p>
      </xdr:txBody>
    </xdr:sp>
    <xdr:clientData/>
  </xdr:twoCellAnchor>
  <xdr:twoCellAnchor>
    <xdr:from>
      <xdr:col>3</xdr:col>
      <xdr:colOff>4393</xdr:colOff>
      <xdr:row>69</xdr:row>
      <xdr:rowOff>21979</xdr:rowOff>
    </xdr:from>
    <xdr:to>
      <xdr:col>9</xdr:col>
      <xdr:colOff>290970</xdr:colOff>
      <xdr:row>71</xdr:row>
      <xdr:rowOff>30260</xdr:rowOff>
    </xdr:to>
    <xdr:sp macro="" textlink="">
      <xdr:nvSpPr>
        <xdr:cNvPr id="39" name="Rectangle: Rounded Corners 38">
          <a:hlinkClick xmlns:r="http://schemas.openxmlformats.org/officeDocument/2006/relationships" r:id="rId17"/>
          <a:extLst>
            <a:ext uri="{FF2B5EF4-FFF2-40B4-BE49-F238E27FC236}">
              <a16:creationId xmlns:a16="http://schemas.microsoft.com/office/drawing/2014/main" id="{C6B82A81-7494-4390-A255-03762312E72B}"/>
            </a:ext>
          </a:extLst>
        </xdr:cNvPr>
        <xdr:cNvSpPr/>
      </xdr:nvSpPr>
      <xdr:spPr>
        <a:xfrm>
          <a:off x="1223593" y="12655939"/>
          <a:ext cx="3944177" cy="3740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Final</a:t>
          </a:r>
          <a:r>
            <a:rPr lang="en-IN" sz="2000" baseline="0"/>
            <a:t> Report</a:t>
          </a:r>
          <a:endParaRPr lang="en-IN" sz="2000"/>
        </a:p>
      </xdr:txBody>
    </xdr:sp>
    <xdr:clientData/>
  </xdr:twoCellAnchor>
  <xdr:twoCellAnchor>
    <xdr:from>
      <xdr:col>3</xdr:col>
      <xdr:colOff>5205</xdr:colOff>
      <xdr:row>72</xdr:row>
      <xdr:rowOff>9062</xdr:rowOff>
    </xdr:from>
    <xdr:to>
      <xdr:col>9</xdr:col>
      <xdr:colOff>291782</xdr:colOff>
      <xdr:row>74</xdr:row>
      <xdr:rowOff>17342</xdr:rowOff>
    </xdr:to>
    <xdr:sp macro="" textlink="">
      <xdr:nvSpPr>
        <xdr:cNvPr id="40" name="Rectangle: Rounded Corners 39">
          <a:hlinkClick xmlns:r="http://schemas.openxmlformats.org/officeDocument/2006/relationships" r:id="rId18"/>
          <a:extLst>
            <a:ext uri="{FF2B5EF4-FFF2-40B4-BE49-F238E27FC236}">
              <a16:creationId xmlns:a16="http://schemas.microsoft.com/office/drawing/2014/main" id="{4D9DBE97-EFF4-4173-B152-EE793F195D35}"/>
            </a:ext>
          </a:extLst>
        </xdr:cNvPr>
        <xdr:cNvSpPr/>
      </xdr:nvSpPr>
      <xdr:spPr>
        <a:xfrm>
          <a:off x="1224405" y="13191662"/>
          <a:ext cx="3944177" cy="374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Pivot</a:t>
          </a:r>
          <a:r>
            <a:rPr lang="en-IN" sz="2000" baseline="0"/>
            <a:t> Table</a:t>
          </a:r>
          <a:endParaRPr lang="en-IN" sz="2000"/>
        </a:p>
      </xdr:txBody>
    </xdr:sp>
    <xdr:clientData/>
  </xdr:twoCellAnchor>
  <xdr:twoCellAnchor editAs="oneCell">
    <xdr:from>
      <xdr:col>0</xdr:col>
      <xdr:colOff>130629</xdr:colOff>
      <xdr:row>0</xdr:row>
      <xdr:rowOff>65315</xdr:rowOff>
    </xdr:from>
    <xdr:to>
      <xdr:col>2</xdr:col>
      <xdr:colOff>562878</xdr:colOff>
      <xdr:row>9</xdr:row>
      <xdr:rowOff>141515</xdr:rowOff>
    </xdr:to>
    <xdr:pic>
      <xdr:nvPicPr>
        <xdr:cNvPr id="13" name="Picture 12">
          <a:extLst>
            <a:ext uri="{FF2B5EF4-FFF2-40B4-BE49-F238E27FC236}">
              <a16:creationId xmlns:a16="http://schemas.microsoft.com/office/drawing/2014/main" id="{5B95B2D2-709B-1303-D22E-48A8DB746709}"/>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30629" y="65315"/>
          <a:ext cx="1651449" cy="17526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Kote" refreshedDate="46170.54979675926" createdVersion="8" refreshedVersion="8" minRefreshableVersion="3" recordCount="250" xr:uid="{25AEEDE1-38E4-4233-950C-2DF539E6D202}">
  <cacheSource type="worksheet">
    <worksheetSource name="Dataset"/>
  </cacheSource>
  <cacheFields count="17">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1">
      <sharedItems containsSemiMixedTypes="0" containsString="0" containsNumber="1" containsInteger="1" minValue="1" maxValue="5"/>
    </cacheField>
    <cacheField name="Unit_Price" numFmtId="2">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387016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x v="0"/>
    <n v="3"/>
    <n v="249.99"/>
    <s v="Cash"/>
    <x v="0"/>
    <x v="0"/>
    <x v="0"/>
    <n v="749.97"/>
  </r>
  <r>
    <s v="TRX0023"/>
    <x v="1"/>
    <s v="CUST013"/>
    <s v="Joseph Jackson"/>
    <s v="P009"/>
    <x v="0"/>
    <x v="0"/>
    <n v="3"/>
    <n v="249.99"/>
    <s v="Credit Card"/>
    <x v="0"/>
    <x v="1"/>
    <x v="1"/>
    <n v="749.97"/>
  </r>
  <r>
    <s v="TRX0139"/>
    <x v="2"/>
    <s v="CUST021"/>
    <s v="Kevin Scott"/>
    <s v="P005"/>
    <x v="1"/>
    <x v="1"/>
    <n v="3"/>
    <n v="59.99"/>
    <s v="PayPal"/>
    <x v="1"/>
    <x v="2"/>
    <x v="2"/>
    <n v="179.97"/>
  </r>
  <r>
    <s v="TRX0043"/>
    <x v="3"/>
    <s v="CUST046"/>
    <s v="Kathleen Bennett"/>
    <s v="P005"/>
    <x v="1"/>
    <x v="1"/>
    <n v="3"/>
    <n v="59.99"/>
    <s v="Cash"/>
    <x v="2"/>
    <x v="1"/>
    <x v="3"/>
    <n v="179.97"/>
  </r>
  <r>
    <s v="TRX0212"/>
    <x v="3"/>
    <s v="CUST003"/>
    <s v="Michael Brown"/>
    <s v="P008"/>
    <x v="2"/>
    <x v="2"/>
    <n v="5"/>
    <n v="149.99"/>
    <s v="Credit Card"/>
    <x v="2"/>
    <x v="1"/>
    <x v="4"/>
    <n v="749.95"/>
  </r>
  <r>
    <s v="TRX0092"/>
    <x v="4"/>
    <s v="CUST024"/>
    <s v="Dorothy Nelson"/>
    <s v="P005"/>
    <x v="1"/>
    <x v="1"/>
    <n v="2"/>
    <n v="59.99"/>
    <s v="Cash"/>
    <x v="3"/>
    <x v="2"/>
    <x v="5"/>
    <n v="119.98"/>
  </r>
  <r>
    <s v="TRX0193"/>
    <x v="4"/>
    <s v="CUST024"/>
    <s v="Dorothy Nelson"/>
    <s v="P003"/>
    <x v="3"/>
    <x v="0"/>
    <n v="5"/>
    <n v="149.99"/>
    <s v="Credit Card"/>
    <x v="0"/>
    <x v="2"/>
    <x v="6"/>
    <n v="749.95"/>
  </r>
  <r>
    <s v="TRX0240"/>
    <x v="4"/>
    <s v="CUST017"/>
    <s v="Charles Allen"/>
    <s v="P005"/>
    <x v="1"/>
    <x v="1"/>
    <n v="3"/>
    <n v="59.99"/>
    <s v="Debit Card"/>
    <x v="1"/>
    <x v="0"/>
    <x v="7"/>
    <n v="179.97"/>
  </r>
  <r>
    <s v="TRX0135"/>
    <x v="5"/>
    <s v="CUST009"/>
    <s v="Robert Thomas"/>
    <s v="P001"/>
    <x v="4"/>
    <x v="0"/>
    <n v="3"/>
    <n v="899.99"/>
    <s v="PayPal"/>
    <x v="4"/>
    <x v="2"/>
    <x v="8"/>
    <n v="2699.97"/>
  </r>
  <r>
    <s v="TRX0185"/>
    <x v="6"/>
    <s v="CUST026"/>
    <s v="Karen Hill"/>
    <s v="P005"/>
    <x v="1"/>
    <x v="1"/>
    <n v="3"/>
    <n v="59.99"/>
    <s v="Cash"/>
    <x v="3"/>
    <x v="1"/>
    <x v="9"/>
    <n v="179.97"/>
  </r>
  <r>
    <s v="TRX0138"/>
    <x v="6"/>
    <s v="CUST022"/>
    <s v="Susan Green"/>
    <s v="P008"/>
    <x v="2"/>
    <x v="2"/>
    <n v="1"/>
    <n v="149.99"/>
    <s v="Credit Card"/>
    <x v="3"/>
    <x v="2"/>
    <x v="10"/>
    <n v="149.99"/>
  </r>
  <r>
    <s v="TRX0209"/>
    <x v="6"/>
    <s v="CUST046"/>
    <s v="Kathleen Bennett"/>
    <s v="P008"/>
    <x v="2"/>
    <x v="2"/>
    <n v="5"/>
    <n v="149.99"/>
    <s v="Debit Card"/>
    <x v="2"/>
    <x v="0"/>
    <x v="11"/>
    <n v="749.95"/>
  </r>
  <r>
    <s v="TRX0246"/>
    <x v="6"/>
    <s v="CUST041"/>
    <s v="Peter Richardson"/>
    <s v="P008"/>
    <x v="2"/>
    <x v="2"/>
    <n v="3"/>
    <n v="149.99"/>
    <s v="Cash"/>
    <x v="2"/>
    <x v="1"/>
    <x v="12"/>
    <n v="449.97"/>
  </r>
  <r>
    <s v="TRX0067"/>
    <x v="7"/>
    <s v="CUST043"/>
    <s v="Dennis Gray"/>
    <s v="P005"/>
    <x v="1"/>
    <x v="1"/>
    <n v="3"/>
    <n v="59.99"/>
    <s v="Credit Card"/>
    <x v="2"/>
    <x v="2"/>
    <x v="13"/>
    <n v="179.97"/>
  </r>
  <r>
    <s v="TRX0191"/>
    <x v="7"/>
    <s v="CUST038"/>
    <s v="Michelle Rogers"/>
    <s v="P002"/>
    <x v="5"/>
    <x v="0"/>
    <n v="3"/>
    <n v="699.99"/>
    <s v="Credit Card"/>
    <x v="3"/>
    <x v="0"/>
    <x v="14"/>
    <n v="2099.9699999999998"/>
  </r>
  <r>
    <s v="TRX0230"/>
    <x v="7"/>
    <s v="CUST027"/>
    <s v="George Adams"/>
    <s v="P001"/>
    <x v="4"/>
    <x v="0"/>
    <n v="1"/>
    <n v="899.99"/>
    <s v="Debit Card"/>
    <x v="2"/>
    <x v="2"/>
    <x v="15"/>
    <n v="899.99"/>
  </r>
  <r>
    <s v="TRX0049"/>
    <x v="8"/>
    <s v="CUST025"/>
    <s v="Mark Carter"/>
    <s v="P008"/>
    <x v="2"/>
    <x v="2"/>
    <n v="4"/>
    <n v="149.99"/>
    <s v="Debit Card"/>
    <x v="2"/>
    <x v="1"/>
    <x v="16"/>
    <n v="599.96"/>
  </r>
  <r>
    <s v="TRX0134"/>
    <x v="8"/>
    <s v="CUST010"/>
    <s v="Maria Garcia"/>
    <s v="P002"/>
    <x v="5"/>
    <x v="0"/>
    <n v="2"/>
    <n v="699.99"/>
    <s v="Cash"/>
    <x v="2"/>
    <x v="0"/>
    <x v="17"/>
    <n v="1399.98"/>
  </r>
  <r>
    <s v="TRX0122"/>
    <x v="8"/>
    <s v="CUST025"/>
    <s v="Mark Carter"/>
    <s v="P001"/>
    <x v="4"/>
    <x v="0"/>
    <n v="4"/>
    <n v="899.99"/>
    <s v="Credit Card"/>
    <x v="3"/>
    <x v="2"/>
    <x v="18"/>
    <n v="3599.96"/>
  </r>
  <r>
    <s v="TRX0222"/>
    <x v="8"/>
    <s v="CUST048"/>
    <s v="Virginia Sanders"/>
    <s v="P009"/>
    <x v="0"/>
    <x v="0"/>
    <n v="3"/>
    <n v="249.99"/>
    <s v="Credit Card"/>
    <x v="2"/>
    <x v="1"/>
    <x v="19"/>
    <n v="749.97"/>
  </r>
  <r>
    <s v="TRX0231"/>
    <x v="9"/>
    <s v="CUST018"/>
    <s v="Barbara Young"/>
    <s v="P002"/>
    <x v="5"/>
    <x v="0"/>
    <n v="5"/>
    <n v="699.99"/>
    <s v="Cash"/>
    <x v="3"/>
    <x v="0"/>
    <x v="20"/>
    <n v="3499.95"/>
  </r>
  <r>
    <s v="TRX0239"/>
    <x v="10"/>
    <s v="CUST012"/>
    <s v="Patricia Moore"/>
    <s v="P002"/>
    <x v="5"/>
    <x v="0"/>
    <n v="4"/>
    <n v="699.99"/>
    <s v="Cash"/>
    <x v="4"/>
    <x v="2"/>
    <x v="21"/>
    <n v="2799.96"/>
  </r>
  <r>
    <s v="TRX0204"/>
    <x v="11"/>
    <s v="CUST044"/>
    <s v="Cynthia Price"/>
    <s v="P009"/>
    <x v="0"/>
    <x v="0"/>
    <n v="4"/>
    <n v="249.99"/>
    <s v="PayPal"/>
    <x v="2"/>
    <x v="2"/>
    <x v="22"/>
    <n v="999.96"/>
  </r>
  <r>
    <s v="TRX0242"/>
    <x v="12"/>
    <s v="CUST025"/>
    <s v="Mark Carter"/>
    <s v="P007"/>
    <x v="6"/>
    <x v="2"/>
    <n v="4"/>
    <n v="299.99"/>
    <s v="Cash"/>
    <x v="3"/>
    <x v="1"/>
    <x v="23"/>
    <n v="1199.96"/>
  </r>
  <r>
    <s v="TRX0071"/>
    <x v="13"/>
    <s v="CUST036"/>
    <s v="Nancy Collins"/>
    <s v="P009"/>
    <x v="0"/>
    <x v="0"/>
    <n v="5"/>
    <n v="249.99"/>
    <s v="Credit Card"/>
    <x v="3"/>
    <x v="2"/>
    <x v="24"/>
    <n v="1249.95"/>
  </r>
  <r>
    <s v="TRX0040"/>
    <x v="14"/>
    <s v="CUST022"/>
    <s v="Susan Green"/>
    <s v="P007"/>
    <x v="6"/>
    <x v="2"/>
    <n v="5"/>
    <n v="299.99"/>
    <s v="PayPal"/>
    <x v="4"/>
    <x v="0"/>
    <x v="25"/>
    <n v="1499.95"/>
  </r>
  <r>
    <s v="TRX0235"/>
    <x v="14"/>
    <s v="CUST014"/>
    <s v="Linda Martin"/>
    <s v="P004"/>
    <x v="7"/>
    <x v="1"/>
    <n v="3"/>
    <n v="79.989999999999995"/>
    <s v="PayPal"/>
    <x v="4"/>
    <x v="1"/>
    <x v="26"/>
    <n v="239.97"/>
  </r>
  <r>
    <s v="TRX0004"/>
    <x v="14"/>
    <s v="CUST012"/>
    <s v="Patricia Moore"/>
    <s v="P010"/>
    <x v="8"/>
    <x v="0"/>
    <n v="5"/>
    <n v="89.99"/>
    <s v="Cash"/>
    <x v="2"/>
    <x v="1"/>
    <x v="27"/>
    <n v="449.95"/>
  </r>
  <r>
    <s v="TRX0063"/>
    <x v="15"/>
    <s v="CUST030"/>
    <s v="Helen Roberts"/>
    <s v="P005"/>
    <x v="1"/>
    <x v="1"/>
    <n v="2"/>
    <n v="59.99"/>
    <s v="Debit Card"/>
    <x v="0"/>
    <x v="2"/>
    <x v="28"/>
    <n v="119.98"/>
  </r>
  <r>
    <s v="TRX0241"/>
    <x v="16"/>
    <s v="CUST029"/>
    <s v="Edward Mitchell"/>
    <s v="P005"/>
    <x v="1"/>
    <x v="1"/>
    <n v="4"/>
    <n v="59.99"/>
    <s v="Debit Card"/>
    <x v="4"/>
    <x v="2"/>
    <x v="29"/>
    <n v="239.96"/>
  </r>
  <r>
    <s v="TRX0029"/>
    <x v="16"/>
    <s v="CUST017"/>
    <s v="Charles Allen"/>
    <s v="P006"/>
    <x v="9"/>
    <x v="2"/>
    <n v="5"/>
    <n v="199.99"/>
    <s v="Cash"/>
    <x v="1"/>
    <x v="2"/>
    <x v="30"/>
    <n v="999.95"/>
  </r>
  <r>
    <s v="TRX0194"/>
    <x v="17"/>
    <s v="CUST006"/>
    <s v="Lisa Anderson"/>
    <s v="P008"/>
    <x v="2"/>
    <x v="2"/>
    <n v="2"/>
    <n v="149.99"/>
    <s v="Credit Card"/>
    <x v="3"/>
    <x v="0"/>
    <x v="31"/>
    <n v="299.98"/>
  </r>
  <r>
    <s v="TRX0130"/>
    <x v="18"/>
    <s v="CUST002"/>
    <s v="Emma Wilson"/>
    <s v="P008"/>
    <x v="2"/>
    <x v="2"/>
    <n v="3"/>
    <n v="149.99"/>
    <s v="Credit Card"/>
    <x v="3"/>
    <x v="1"/>
    <x v="32"/>
    <n v="449.97"/>
  </r>
  <r>
    <s v="TRX0041"/>
    <x v="19"/>
    <s v="CUST021"/>
    <s v="Kevin Scott"/>
    <s v="P001"/>
    <x v="4"/>
    <x v="0"/>
    <n v="1"/>
    <n v="899.99"/>
    <s v="Credit Card"/>
    <x v="3"/>
    <x v="1"/>
    <x v="33"/>
    <n v="899.99"/>
  </r>
  <r>
    <s v="TRX0232"/>
    <x v="20"/>
    <s v="CUST012"/>
    <s v="Patricia Moore"/>
    <s v="P007"/>
    <x v="6"/>
    <x v="2"/>
    <n v="3"/>
    <n v="299.99"/>
    <s v="Credit Card"/>
    <x v="4"/>
    <x v="0"/>
    <x v="34"/>
    <n v="899.97"/>
  </r>
  <r>
    <s v="TRX0021"/>
    <x v="21"/>
    <s v="CUST006"/>
    <s v="Lisa Anderson"/>
    <s v="P004"/>
    <x v="7"/>
    <x v="1"/>
    <n v="3"/>
    <n v="79.989999999999995"/>
    <s v="Cash"/>
    <x v="1"/>
    <x v="0"/>
    <x v="35"/>
    <n v="239.97"/>
  </r>
  <r>
    <s v="TRX0245"/>
    <x v="22"/>
    <s v="CUST031"/>
    <s v="Steven Turner"/>
    <s v="P006"/>
    <x v="9"/>
    <x v="2"/>
    <n v="3"/>
    <n v="199.99"/>
    <s v="Credit Card"/>
    <x v="2"/>
    <x v="1"/>
    <x v="36"/>
    <n v="599.97"/>
  </r>
  <r>
    <s v="TRX0015"/>
    <x v="23"/>
    <s v="CUST008"/>
    <s v="Jennifer Taylor"/>
    <s v="P002"/>
    <x v="5"/>
    <x v="0"/>
    <n v="5"/>
    <n v="699.99"/>
    <s v="PayPal"/>
    <x v="3"/>
    <x v="2"/>
    <x v="37"/>
    <n v="3499.95"/>
  </r>
  <r>
    <s v="TRX0202"/>
    <x v="24"/>
    <s v="CUST035"/>
    <s v="Harry Morgan"/>
    <s v="P010"/>
    <x v="8"/>
    <x v="0"/>
    <n v="3"/>
    <n v="89.99"/>
    <s v="PayPal"/>
    <x v="0"/>
    <x v="1"/>
    <x v="38"/>
    <n v="269.97000000000003"/>
  </r>
  <r>
    <s v="TRX0042"/>
    <x v="25"/>
    <s v="CUST019"/>
    <s v="Daniel King"/>
    <s v="P004"/>
    <x v="7"/>
    <x v="1"/>
    <n v="1"/>
    <n v="79.989999999999995"/>
    <s v="Cash"/>
    <x v="2"/>
    <x v="2"/>
    <x v="39"/>
    <n v="79.989999999999995"/>
  </r>
  <r>
    <s v="TRX0128"/>
    <x v="26"/>
    <s v="CUST040"/>
    <s v="Sharon Butler"/>
    <s v="P005"/>
    <x v="1"/>
    <x v="1"/>
    <n v="2"/>
    <n v="59.99"/>
    <s v="Cash"/>
    <x v="3"/>
    <x v="0"/>
    <x v="40"/>
    <n v="119.98"/>
  </r>
  <r>
    <s v="TRX0117"/>
    <x v="26"/>
    <s v="CUST017"/>
    <s v="Charles Allen"/>
    <s v="P010"/>
    <x v="8"/>
    <x v="0"/>
    <n v="1"/>
    <n v="89.99"/>
    <s v="Cash"/>
    <x v="2"/>
    <x v="0"/>
    <x v="41"/>
    <n v="89.99"/>
  </r>
  <r>
    <s v="TRX0208"/>
    <x v="27"/>
    <s v="CUST004"/>
    <s v="Sarah Davis"/>
    <s v="P010"/>
    <x v="8"/>
    <x v="0"/>
    <n v="5"/>
    <n v="89.99"/>
    <s v="Credit Card"/>
    <x v="4"/>
    <x v="2"/>
    <x v="42"/>
    <n v="449.95"/>
  </r>
  <r>
    <s v="TRX0234"/>
    <x v="28"/>
    <s v="CUST013"/>
    <s v="Joseph Jackson"/>
    <s v="P009"/>
    <x v="0"/>
    <x v="0"/>
    <n v="5"/>
    <n v="249.99"/>
    <s v="Credit Card"/>
    <x v="4"/>
    <x v="2"/>
    <x v="43"/>
    <n v="1249.95"/>
  </r>
  <r>
    <s v="TRX0121"/>
    <x v="28"/>
    <s v="CUST028"/>
    <s v="Betty Campbell"/>
    <s v="P010"/>
    <x v="8"/>
    <x v="0"/>
    <n v="1"/>
    <n v="89.99"/>
    <s v="Credit Card"/>
    <x v="1"/>
    <x v="2"/>
    <x v="44"/>
    <n v="89.99"/>
  </r>
  <r>
    <s v="TRX0220"/>
    <x v="29"/>
    <s v="CUST003"/>
    <s v="Michael Brown"/>
    <s v="P008"/>
    <x v="2"/>
    <x v="2"/>
    <n v="2"/>
    <n v="149.99"/>
    <s v="Cash"/>
    <x v="4"/>
    <x v="1"/>
    <x v="45"/>
    <n v="299.98"/>
  </r>
  <r>
    <s v="TRX0093"/>
    <x v="30"/>
    <s v="CUST050"/>
    <s v="Julie Foster"/>
    <s v="P005"/>
    <x v="1"/>
    <x v="1"/>
    <n v="4"/>
    <n v="59.99"/>
    <s v="Cash"/>
    <x v="4"/>
    <x v="2"/>
    <x v="46"/>
    <n v="239.96"/>
  </r>
  <r>
    <s v="TRX0088"/>
    <x v="31"/>
    <s v="CUST006"/>
    <s v="Lisa Anderson"/>
    <s v="P010"/>
    <x v="8"/>
    <x v="0"/>
    <n v="5"/>
    <n v="89.99"/>
    <s v="Cash"/>
    <x v="0"/>
    <x v="1"/>
    <x v="47"/>
    <n v="449.95"/>
  </r>
  <r>
    <s v="TRX0115"/>
    <x v="32"/>
    <s v="CUST012"/>
    <s v="Patricia Moore"/>
    <s v="P010"/>
    <x v="8"/>
    <x v="0"/>
    <n v="2"/>
    <n v="89.99"/>
    <s v="Credit Card"/>
    <x v="1"/>
    <x v="1"/>
    <x v="48"/>
    <n v="179.98"/>
  </r>
  <r>
    <s v="TRX0154"/>
    <x v="32"/>
    <s v="CUST023"/>
    <s v="Paul Baker"/>
    <s v="P001"/>
    <x v="4"/>
    <x v="0"/>
    <n v="5"/>
    <n v="899.99"/>
    <s v="Credit Card"/>
    <x v="1"/>
    <x v="2"/>
    <x v="49"/>
    <n v="4499.95"/>
  </r>
  <r>
    <s v="TRX0044"/>
    <x v="32"/>
    <s v="CUST029"/>
    <s v="Edward Mitchell"/>
    <s v="P001"/>
    <x v="4"/>
    <x v="0"/>
    <n v="5"/>
    <n v="899.99"/>
    <s v="PayPal"/>
    <x v="4"/>
    <x v="1"/>
    <x v="50"/>
    <n v="4499.95"/>
  </r>
  <r>
    <s v="TRX0061"/>
    <x v="33"/>
    <s v="CUST028"/>
    <s v="Betty Campbell"/>
    <s v="P005"/>
    <x v="1"/>
    <x v="1"/>
    <n v="1"/>
    <n v="59.99"/>
    <s v="Debit Card"/>
    <x v="3"/>
    <x v="1"/>
    <x v="51"/>
    <n v="59.99"/>
  </r>
  <r>
    <s v="TRX0150"/>
    <x v="33"/>
    <s v="CUST008"/>
    <s v="Jennifer Taylor"/>
    <s v="P007"/>
    <x v="6"/>
    <x v="2"/>
    <n v="2"/>
    <n v="299.99"/>
    <s v="Debit Card"/>
    <x v="4"/>
    <x v="2"/>
    <x v="52"/>
    <n v="599.98"/>
  </r>
  <r>
    <s v="TRX0025"/>
    <x v="34"/>
    <s v="CUST049"/>
    <s v="Raymond Ross"/>
    <s v="P010"/>
    <x v="8"/>
    <x v="0"/>
    <n v="4"/>
    <n v="89.99"/>
    <s v="Debit Card"/>
    <x v="1"/>
    <x v="0"/>
    <x v="53"/>
    <n v="359.96"/>
  </r>
  <r>
    <s v="TRX0078"/>
    <x v="35"/>
    <s v="CUST021"/>
    <s v="Kevin Scott"/>
    <s v="P004"/>
    <x v="7"/>
    <x v="1"/>
    <n v="1"/>
    <n v="79.989999999999995"/>
    <s v="PayPal"/>
    <x v="0"/>
    <x v="1"/>
    <x v="54"/>
    <n v="79.989999999999995"/>
  </r>
  <r>
    <s v="TRX0007"/>
    <x v="35"/>
    <s v="CUST009"/>
    <s v="Robert Thomas"/>
    <s v="P010"/>
    <x v="8"/>
    <x v="0"/>
    <n v="2"/>
    <n v="89.99"/>
    <s v="Cash"/>
    <x v="3"/>
    <x v="0"/>
    <x v="55"/>
    <n v="179.98"/>
  </r>
  <r>
    <s v="TRX0184"/>
    <x v="36"/>
    <s v="CUST046"/>
    <s v="Kathleen Bennett"/>
    <s v="P002"/>
    <x v="5"/>
    <x v="0"/>
    <n v="3"/>
    <n v="699.99"/>
    <s v="Credit Card"/>
    <x v="4"/>
    <x v="1"/>
    <x v="56"/>
    <n v="2099.9699999999998"/>
  </r>
  <r>
    <s v="TRX0104"/>
    <x v="36"/>
    <s v="CUST012"/>
    <s v="Patricia Moore"/>
    <s v="P001"/>
    <x v="4"/>
    <x v="0"/>
    <n v="4"/>
    <n v="899.99"/>
    <s v="Credit Card"/>
    <x v="4"/>
    <x v="1"/>
    <x v="57"/>
    <n v="3599.96"/>
  </r>
  <r>
    <s v="TRX0127"/>
    <x v="37"/>
    <s v="CUST030"/>
    <s v="Helen Roberts"/>
    <s v="P008"/>
    <x v="2"/>
    <x v="2"/>
    <n v="1"/>
    <n v="149.99"/>
    <s v="PayPal"/>
    <x v="4"/>
    <x v="0"/>
    <x v="58"/>
    <n v="149.99"/>
  </r>
  <r>
    <s v="TRX0096"/>
    <x v="38"/>
    <s v="CUST002"/>
    <s v="Emma Wilson"/>
    <s v="P010"/>
    <x v="8"/>
    <x v="0"/>
    <n v="2"/>
    <n v="89.99"/>
    <s v="PayPal"/>
    <x v="0"/>
    <x v="1"/>
    <x v="59"/>
    <n v="179.98"/>
  </r>
  <r>
    <s v="TRX0192"/>
    <x v="39"/>
    <s v="CUST017"/>
    <s v="Charles Allen"/>
    <s v="P010"/>
    <x v="8"/>
    <x v="0"/>
    <n v="1"/>
    <n v="89.99"/>
    <s v="PayPal"/>
    <x v="3"/>
    <x v="2"/>
    <x v="60"/>
    <n v="89.99"/>
  </r>
  <r>
    <s v="TRX0052"/>
    <x v="40"/>
    <s v="CUST022"/>
    <s v="Susan Green"/>
    <s v="P010"/>
    <x v="8"/>
    <x v="0"/>
    <n v="1"/>
    <n v="89.99"/>
    <s v="Cash"/>
    <x v="1"/>
    <x v="2"/>
    <x v="61"/>
    <n v="89.99"/>
  </r>
  <r>
    <s v="TRX0070"/>
    <x v="40"/>
    <s v="CUST007"/>
    <s v="David Martinez"/>
    <s v="P004"/>
    <x v="7"/>
    <x v="1"/>
    <n v="5"/>
    <n v="79.989999999999995"/>
    <s v="Debit Card"/>
    <x v="0"/>
    <x v="0"/>
    <x v="62"/>
    <n v="399.95"/>
  </r>
  <r>
    <s v="TRX0086"/>
    <x v="41"/>
    <s v="CUST020"/>
    <s v="Margaret Wright"/>
    <s v="P008"/>
    <x v="2"/>
    <x v="2"/>
    <n v="1"/>
    <n v="149.99"/>
    <s v="PayPal"/>
    <x v="2"/>
    <x v="0"/>
    <x v="63"/>
    <n v="149.99"/>
  </r>
  <r>
    <s v="TRX0113"/>
    <x v="41"/>
    <s v="CUST003"/>
    <s v="Michael Brown"/>
    <s v="P002"/>
    <x v="5"/>
    <x v="0"/>
    <n v="2"/>
    <n v="699.99"/>
    <s v="PayPal"/>
    <x v="4"/>
    <x v="1"/>
    <x v="64"/>
    <n v="1399.98"/>
  </r>
  <r>
    <s v="TRX0114"/>
    <x v="41"/>
    <s v="CUST018"/>
    <s v="Barbara Young"/>
    <s v="P010"/>
    <x v="8"/>
    <x v="0"/>
    <n v="5"/>
    <n v="89.99"/>
    <s v="Debit Card"/>
    <x v="2"/>
    <x v="1"/>
    <x v="65"/>
    <n v="449.95"/>
  </r>
  <r>
    <s v="TRX0136"/>
    <x v="42"/>
    <s v="CUST049"/>
    <s v="Raymond Ross"/>
    <s v="P005"/>
    <x v="1"/>
    <x v="1"/>
    <n v="4"/>
    <n v="59.99"/>
    <s v="Cash"/>
    <x v="1"/>
    <x v="2"/>
    <x v="66"/>
    <n v="239.96"/>
  </r>
  <r>
    <s v="TRX0018"/>
    <x v="43"/>
    <s v="CUST013"/>
    <s v="Joseph Jackson"/>
    <s v="P003"/>
    <x v="3"/>
    <x v="0"/>
    <n v="1"/>
    <n v="149.99"/>
    <s v="Cash"/>
    <x v="0"/>
    <x v="2"/>
    <x v="67"/>
    <n v="149.99"/>
  </r>
  <r>
    <s v="TRX0141"/>
    <x v="43"/>
    <s v="CUST033"/>
    <s v="Frank Torres"/>
    <s v="P007"/>
    <x v="6"/>
    <x v="2"/>
    <n v="1"/>
    <n v="299.99"/>
    <s v="Credit Card"/>
    <x v="2"/>
    <x v="1"/>
    <x v="68"/>
    <n v="299.99"/>
  </r>
  <r>
    <s v="TRX0097"/>
    <x v="44"/>
    <s v="CUST033"/>
    <s v="Frank Torres"/>
    <s v="P006"/>
    <x v="9"/>
    <x v="2"/>
    <n v="2"/>
    <n v="199.99"/>
    <s v="Cash"/>
    <x v="2"/>
    <x v="0"/>
    <x v="69"/>
    <n v="399.98"/>
  </r>
  <r>
    <s v="TRX0169"/>
    <x v="45"/>
    <s v="CUST047"/>
    <s v="Gerald Murphy"/>
    <s v="P005"/>
    <x v="1"/>
    <x v="1"/>
    <n v="3"/>
    <n v="59.99"/>
    <s v="Credit Card"/>
    <x v="3"/>
    <x v="0"/>
    <x v="70"/>
    <n v="179.97"/>
  </r>
  <r>
    <s v="TRX0216"/>
    <x v="45"/>
    <s v="CUST041"/>
    <s v="Peter Richardson"/>
    <s v="P008"/>
    <x v="2"/>
    <x v="2"/>
    <n v="3"/>
    <n v="149.99"/>
    <s v="Cash"/>
    <x v="0"/>
    <x v="1"/>
    <x v="71"/>
    <n v="449.97"/>
  </r>
  <r>
    <s v="TRX0131"/>
    <x v="46"/>
    <s v="CUST026"/>
    <s v="Karen Hill"/>
    <s v="P006"/>
    <x v="9"/>
    <x v="2"/>
    <n v="3"/>
    <n v="199.99"/>
    <s v="Cash"/>
    <x v="2"/>
    <x v="1"/>
    <x v="72"/>
    <n v="599.97"/>
  </r>
  <r>
    <s v="TRX0162"/>
    <x v="47"/>
    <s v="CUST040"/>
    <s v="Sharon Butler"/>
    <s v="P001"/>
    <x v="4"/>
    <x v="0"/>
    <n v="1"/>
    <n v="899.99"/>
    <s v="Cash"/>
    <x v="0"/>
    <x v="2"/>
    <x v="73"/>
    <n v="899.99"/>
  </r>
  <r>
    <s v="TRX0244"/>
    <x v="48"/>
    <s v="CUST013"/>
    <s v="Joseph Jackson"/>
    <s v="P001"/>
    <x v="4"/>
    <x v="0"/>
    <n v="5"/>
    <n v="899.99"/>
    <s v="Debit Card"/>
    <x v="1"/>
    <x v="2"/>
    <x v="74"/>
    <n v="4499.95"/>
  </r>
  <r>
    <s v="TRX0006"/>
    <x v="49"/>
    <s v="CUST007"/>
    <s v="David Martinez"/>
    <s v="P005"/>
    <x v="1"/>
    <x v="1"/>
    <n v="2"/>
    <n v="59.99"/>
    <s v="Cash"/>
    <x v="2"/>
    <x v="2"/>
    <x v="75"/>
    <n v="119.98"/>
  </r>
  <r>
    <s v="TRX0215"/>
    <x v="49"/>
    <s v="CUST047"/>
    <s v="Gerald Murphy"/>
    <s v="P009"/>
    <x v="0"/>
    <x v="0"/>
    <n v="4"/>
    <n v="249.99"/>
    <s v="Debit Card"/>
    <x v="0"/>
    <x v="2"/>
    <x v="76"/>
    <n v="999.96"/>
  </r>
  <r>
    <s v="TRX0080"/>
    <x v="50"/>
    <s v="CUST018"/>
    <s v="Barbara Young"/>
    <s v="P009"/>
    <x v="0"/>
    <x v="0"/>
    <n v="2"/>
    <n v="249.99"/>
    <s v="Cash"/>
    <x v="2"/>
    <x v="1"/>
    <x v="77"/>
    <n v="499.98"/>
  </r>
  <r>
    <s v="TRX0228"/>
    <x v="50"/>
    <s v="CUST019"/>
    <s v="Daniel King"/>
    <s v="P007"/>
    <x v="6"/>
    <x v="2"/>
    <n v="1"/>
    <n v="299.99"/>
    <s v="Cash"/>
    <x v="1"/>
    <x v="0"/>
    <x v="78"/>
    <n v="299.99"/>
  </r>
  <r>
    <s v="TRX0157"/>
    <x v="51"/>
    <s v="CUST025"/>
    <s v="Mark Carter"/>
    <s v="P010"/>
    <x v="8"/>
    <x v="0"/>
    <n v="2"/>
    <n v="89.99"/>
    <s v="PayPal"/>
    <x v="1"/>
    <x v="0"/>
    <x v="79"/>
    <n v="179.98"/>
  </r>
  <r>
    <s v="TRX0002"/>
    <x v="51"/>
    <s v="CUST019"/>
    <s v="Daniel King"/>
    <s v="P007"/>
    <x v="6"/>
    <x v="2"/>
    <n v="3"/>
    <n v="299.99"/>
    <s v="Cash"/>
    <x v="0"/>
    <x v="0"/>
    <x v="80"/>
    <n v="899.97"/>
  </r>
  <r>
    <s v="TRX0217"/>
    <x v="52"/>
    <s v="CUST025"/>
    <s v="Mark Carter"/>
    <s v="P002"/>
    <x v="5"/>
    <x v="0"/>
    <n v="2"/>
    <n v="699.99"/>
    <s v="Credit Card"/>
    <x v="2"/>
    <x v="1"/>
    <x v="81"/>
    <n v="1399.98"/>
  </r>
  <r>
    <s v="TRX0249"/>
    <x v="53"/>
    <s v="CUST030"/>
    <s v="Helen Roberts"/>
    <s v="P001"/>
    <x v="4"/>
    <x v="0"/>
    <n v="4"/>
    <n v="899.99"/>
    <s v="Debit Card"/>
    <x v="1"/>
    <x v="2"/>
    <x v="82"/>
    <n v="3599.96"/>
  </r>
  <r>
    <s v="TRX0065"/>
    <x v="54"/>
    <s v="CUST016"/>
    <s v="Elizabeth Hall"/>
    <s v="P008"/>
    <x v="2"/>
    <x v="2"/>
    <n v="2"/>
    <n v="149.99"/>
    <s v="Credit Card"/>
    <x v="3"/>
    <x v="0"/>
    <x v="83"/>
    <n v="299.98"/>
  </r>
  <r>
    <s v="TRX0176"/>
    <x v="55"/>
    <s v="CUST044"/>
    <s v="Cynthia Price"/>
    <s v="P008"/>
    <x v="2"/>
    <x v="2"/>
    <n v="2"/>
    <n v="149.99"/>
    <s v="Debit Card"/>
    <x v="4"/>
    <x v="2"/>
    <x v="84"/>
    <n v="299.98"/>
  </r>
  <r>
    <s v="TRX0101"/>
    <x v="56"/>
    <s v="CUST010"/>
    <s v="Maria Garcia"/>
    <s v="P010"/>
    <x v="8"/>
    <x v="0"/>
    <n v="1"/>
    <n v="89.99"/>
    <s v="Credit Card"/>
    <x v="2"/>
    <x v="2"/>
    <x v="85"/>
    <n v="89.99"/>
  </r>
  <r>
    <s v="TRX0205"/>
    <x v="57"/>
    <s v="CUST025"/>
    <s v="Mark Carter"/>
    <s v="P007"/>
    <x v="6"/>
    <x v="2"/>
    <n v="5"/>
    <n v="299.99"/>
    <s v="Credit Card"/>
    <x v="2"/>
    <x v="0"/>
    <x v="86"/>
    <n v="1499.95"/>
  </r>
  <r>
    <s v="TRX0020"/>
    <x v="58"/>
    <s v="CUST007"/>
    <s v="David Martinez"/>
    <s v="P003"/>
    <x v="3"/>
    <x v="0"/>
    <n v="4"/>
    <n v="149.99"/>
    <s v="Debit Card"/>
    <x v="1"/>
    <x v="1"/>
    <x v="87"/>
    <n v="599.96"/>
  </r>
  <r>
    <s v="TRX0075"/>
    <x v="58"/>
    <s v="CUST020"/>
    <s v="Margaret Wright"/>
    <s v="P009"/>
    <x v="0"/>
    <x v="0"/>
    <n v="5"/>
    <n v="249.99"/>
    <s v="PayPal"/>
    <x v="4"/>
    <x v="1"/>
    <x v="88"/>
    <n v="1249.95"/>
  </r>
  <r>
    <s v="TRX0098"/>
    <x v="58"/>
    <s v="CUST026"/>
    <s v="Karen Hill"/>
    <s v="P009"/>
    <x v="0"/>
    <x v="0"/>
    <n v="3"/>
    <n v="249.99"/>
    <s v="PayPal"/>
    <x v="2"/>
    <x v="1"/>
    <x v="89"/>
    <n v="749.97"/>
  </r>
  <r>
    <s v="TRX0247"/>
    <x v="58"/>
    <s v="CUST046"/>
    <s v="Kathleen Bennett"/>
    <s v="P006"/>
    <x v="9"/>
    <x v="2"/>
    <n v="4"/>
    <n v="199.99"/>
    <s v="Cash"/>
    <x v="2"/>
    <x v="2"/>
    <x v="90"/>
    <n v="799.96"/>
  </r>
  <r>
    <s v="TRX0027"/>
    <x v="59"/>
    <s v="CUST028"/>
    <s v="Betty Campbell"/>
    <s v="P006"/>
    <x v="9"/>
    <x v="2"/>
    <n v="5"/>
    <n v="199.99"/>
    <s v="Cash"/>
    <x v="2"/>
    <x v="1"/>
    <x v="91"/>
    <n v="999.95"/>
  </r>
  <r>
    <s v="TRX0140"/>
    <x v="60"/>
    <s v="CUST025"/>
    <s v="Mark Carter"/>
    <s v="P010"/>
    <x v="8"/>
    <x v="0"/>
    <n v="2"/>
    <n v="89.99"/>
    <s v="Cash"/>
    <x v="4"/>
    <x v="1"/>
    <x v="92"/>
    <n v="179.98"/>
  </r>
  <r>
    <s v="TRX0132"/>
    <x v="61"/>
    <s v="CUST047"/>
    <s v="Gerald Murphy"/>
    <s v="P001"/>
    <x v="4"/>
    <x v="0"/>
    <n v="5"/>
    <n v="899.99"/>
    <s v="Debit Card"/>
    <x v="4"/>
    <x v="0"/>
    <x v="93"/>
    <n v="4499.95"/>
  </r>
  <r>
    <s v="TRX0031"/>
    <x v="61"/>
    <s v="CUST036"/>
    <s v="Nancy Collins"/>
    <s v="P003"/>
    <x v="3"/>
    <x v="0"/>
    <n v="3"/>
    <n v="149.99"/>
    <s v="PayPal"/>
    <x v="4"/>
    <x v="0"/>
    <x v="94"/>
    <n v="449.97"/>
  </r>
  <r>
    <s v="TRX0236"/>
    <x v="62"/>
    <s v="CUST044"/>
    <s v="Cynthia Price"/>
    <s v="P008"/>
    <x v="2"/>
    <x v="2"/>
    <n v="5"/>
    <n v="149.99"/>
    <s v="Credit Card"/>
    <x v="0"/>
    <x v="0"/>
    <x v="95"/>
    <n v="749.95"/>
  </r>
  <r>
    <s v="TRX0001"/>
    <x v="63"/>
    <s v="CUST039"/>
    <s v="Lawrence Reed"/>
    <s v="P004"/>
    <x v="7"/>
    <x v="1"/>
    <n v="3"/>
    <n v="79.989999999999995"/>
    <s v="Cash"/>
    <x v="0"/>
    <x v="1"/>
    <x v="96"/>
    <n v="239.97"/>
  </r>
  <r>
    <s v="TRX0037"/>
    <x v="63"/>
    <s v="CUST035"/>
    <s v="Harry Morgan"/>
    <s v="P009"/>
    <x v="0"/>
    <x v="0"/>
    <n v="2"/>
    <n v="249.99"/>
    <s v="Cash"/>
    <x v="1"/>
    <x v="2"/>
    <x v="97"/>
    <n v="499.98"/>
  </r>
  <r>
    <s v="TRX0058"/>
    <x v="64"/>
    <s v="CUST047"/>
    <s v="Gerald Murphy"/>
    <s v="P002"/>
    <x v="5"/>
    <x v="0"/>
    <n v="1"/>
    <n v="699.99"/>
    <s v="Cash"/>
    <x v="0"/>
    <x v="1"/>
    <x v="98"/>
    <n v="699.99"/>
  </r>
  <r>
    <s v="TRX0170"/>
    <x v="64"/>
    <s v="CUST034"/>
    <s v="Carol Evans"/>
    <s v="P003"/>
    <x v="3"/>
    <x v="0"/>
    <n v="3"/>
    <n v="149.99"/>
    <s v="Cash"/>
    <x v="3"/>
    <x v="1"/>
    <x v="99"/>
    <n v="449.97"/>
  </r>
  <r>
    <s v="TRX0248"/>
    <x v="65"/>
    <s v="CUST032"/>
    <s v="Sandra Phillips"/>
    <s v="P002"/>
    <x v="5"/>
    <x v="0"/>
    <n v="2"/>
    <n v="699.99"/>
    <s v="Credit Card"/>
    <x v="2"/>
    <x v="1"/>
    <x v="63"/>
    <n v="1399.98"/>
  </r>
  <r>
    <s v="TRX0099"/>
    <x v="66"/>
    <s v="CUST034"/>
    <s v="Carol Evans"/>
    <s v="P009"/>
    <x v="0"/>
    <x v="0"/>
    <n v="1"/>
    <n v="249.99"/>
    <s v="Credit Card"/>
    <x v="3"/>
    <x v="1"/>
    <x v="100"/>
    <n v="249.99"/>
  </r>
  <r>
    <s v="TRX0074"/>
    <x v="66"/>
    <s v="CUST023"/>
    <s v="Paul Baker"/>
    <s v="P009"/>
    <x v="0"/>
    <x v="0"/>
    <n v="1"/>
    <n v="249.99"/>
    <s v="Debit Card"/>
    <x v="2"/>
    <x v="1"/>
    <x v="101"/>
    <n v="249.99"/>
  </r>
  <r>
    <s v="TRX0225"/>
    <x v="67"/>
    <s v="CUST039"/>
    <s v="Lawrence Reed"/>
    <s v="P002"/>
    <x v="5"/>
    <x v="0"/>
    <n v="2"/>
    <n v="699.99"/>
    <s v="Debit Card"/>
    <x v="0"/>
    <x v="1"/>
    <x v="102"/>
    <n v="1399.98"/>
  </r>
  <r>
    <s v="TRX0100"/>
    <x v="68"/>
    <s v="CUST031"/>
    <s v="Steven Turner"/>
    <s v="P005"/>
    <x v="1"/>
    <x v="1"/>
    <n v="3"/>
    <n v="59.99"/>
    <s v="Credit Card"/>
    <x v="0"/>
    <x v="1"/>
    <x v="103"/>
    <n v="179.97"/>
  </r>
  <r>
    <s v="TRX0142"/>
    <x v="69"/>
    <s v="CUST002"/>
    <s v="Emma Wilson"/>
    <s v="P005"/>
    <x v="1"/>
    <x v="1"/>
    <n v="3"/>
    <n v="59.99"/>
    <s v="PayPal"/>
    <x v="4"/>
    <x v="2"/>
    <x v="104"/>
    <n v="179.97"/>
  </r>
  <r>
    <s v="TRX0112"/>
    <x v="69"/>
    <s v="CUST008"/>
    <s v="Jennifer Taylor"/>
    <s v="P004"/>
    <x v="7"/>
    <x v="1"/>
    <n v="4"/>
    <n v="79.989999999999995"/>
    <s v="Cash"/>
    <x v="2"/>
    <x v="0"/>
    <x v="105"/>
    <n v="319.95999999999998"/>
  </r>
  <r>
    <s v="TRX0161"/>
    <x v="70"/>
    <s v="CUST017"/>
    <s v="Charles Allen"/>
    <s v="P004"/>
    <x v="7"/>
    <x v="1"/>
    <n v="1"/>
    <n v="79.989999999999995"/>
    <s v="Cash"/>
    <x v="3"/>
    <x v="0"/>
    <x v="106"/>
    <n v="79.989999999999995"/>
  </r>
  <r>
    <s v="TRX0108"/>
    <x v="71"/>
    <s v="CUST024"/>
    <s v="Dorothy Nelson"/>
    <s v="P007"/>
    <x v="6"/>
    <x v="2"/>
    <n v="3"/>
    <n v="299.99"/>
    <s v="Credit Card"/>
    <x v="0"/>
    <x v="1"/>
    <x v="107"/>
    <n v="899.97"/>
  </r>
  <r>
    <s v="TRX0211"/>
    <x v="72"/>
    <s v="CUST046"/>
    <s v="Kathleen Bennett"/>
    <s v="P010"/>
    <x v="8"/>
    <x v="0"/>
    <n v="2"/>
    <n v="89.99"/>
    <s v="Credit Card"/>
    <x v="1"/>
    <x v="1"/>
    <x v="108"/>
    <n v="179.98"/>
  </r>
  <r>
    <s v="TRX0005"/>
    <x v="73"/>
    <s v="CUST042"/>
    <s v="Ruth Brooks"/>
    <s v="P003"/>
    <x v="3"/>
    <x v="0"/>
    <n v="4"/>
    <n v="149.99"/>
    <s v="Cash"/>
    <x v="2"/>
    <x v="0"/>
    <x v="67"/>
    <n v="599.96"/>
  </r>
  <r>
    <s v="TRX0195"/>
    <x v="74"/>
    <s v="CUST026"/>
    <s v="Karen Hill"/>
    <s v="P009"/>
    <x v="0"/>
    <x v="0"/>
    <n v="2"/>
    <n v="249.99"/>
    <s v="PayPal"/>
    <x v="1"/>
    <x v="0"/>
    <x v="57"/>
    <n v="499.98"/>
  </r>
  <r>
    <s v="TRX0054"/>
    <x v="74"/>
    <s v="CUST004"/>
    <s v="Sarah Davis"/>
    <s v="P006"/>
    <x v="9"/>
    <x v="2"/>
    <n v="4"/>
    <n v="199.99"/>
    <s v="Debit Card"/>
    <x v="4"/>
    <x v="0"/>
    <x v="90"/>
    <n v="799.96"/>
  </r>
  <r>
    <s v="TRX0077"/>
    <x v="75"/>
    <s v="CUST019"/>
    <s v="Daniel King"/>
    <s v="P010"/>
    <x v="8"/>
    <x v="0"/>
    <n v="5"/>
    <n v="89.99"/>
    <s v="Credit Card"/>
    <x v="4"/>
    <x v="1"/>
    <x v="109"/>
    <n v="449.95"/>
  </r>
  <r>
    <s v="TRX0111"/>
    <x v="75"/>
    <s v="CUST011"/>
    <s v="William White"/>
    <s v="P003"/>
    <x v="3"/>
    <x v="0"/>
    <n v="1"/>
    <n v="149.99"/>
    <s v="PayPal"/>
    <x v="4"/>
    <x v="2"/>
    <x v="110"/>
    <n v="149.99"/>
  </r>
  <r>
    <s v="TRX0123"/>
    <x v="75"/>
    <s v="CUST041"/>
    <s v="Peter Richardson"/>
    <s v="P002"/>
    <x v="5"/>
    <x v="0"/>
    <n v="4"/>
    <n v="699.99"/>
    <s v="PayPal"/>
    <x v="1"/>
    <x v="0"/>
    <x v="111"/>
    <n v="2799.96"/>
  </r>
  <r>
    <s v="TRX0177"/>
    <x v="76"/>
    <s v="CUST032"/>
    <s v="Sandra Phillips"/>
    <s v="P001"/>
    <x v="4"/>
    <x v="0"/>
    <n v="3"/>
    <n v="899.99"/>
    <s v="Credit Card"/>
    <x v="2"/>
    <x v="2"/>
    <x v="112"/>
    <n v="2699.97"/>
  </r>
  <r>
    <s v="TRX0119"/>
    <x v="77"/>
    <s v="CUST014"/>
    <s v="Linda Martin"/>
    <s v="P008"/>
    <x v="2"/>
    <x v="2"/>
    <n v="3"/>
    <n v="149.99"/>
    <s v="PayPal"/>
    <x v="4"/>
    <x v="0"/>
    <x v="113"/>
    <n v="449.97"/>
  </r>
  <r>
    <s v="TRX0181"/>
    <x v="78"/>
    <s v="CUST012"/>
    <s v="Patricia Moore"/>
    <s v="P007"/>
    <x v="6"/>
    <x v="2"/>
    <n v="2"/>
    <n v="299.99"/>
    <s v="Debit Card"/>
    <x v="0"/>
    <x v="0"/>
    <x v="114"/>
    <n v="599.98"/>
  </r>
  <r>
    <s v="TRX0129"/>
    <x v="79"/>
    <s v="CUST015"/>
    <s v="Richard Lee"/>
    <s v="P006"/>
    <x v="9"/>
    <x v="2"/>
    <n v="1"/>
    <n v="199.99"/>
    <s v="Debit Card"/>
    <x v="4"/>
    <x v="2"/>
    <x v="115"/>
    <n v="199.99"/>
  </r>
  <r>
    <s v="TRX0174"/>
    <x v="80"/>
    <s v="CUST003"/>
    <s v="Michael Brown"/>
    <s v="P007"/>
    <x v="6"/>
    <x v="2"/>
    <n v="4"/>
    <n v="299.99"/>
    <s v="Cash"/>
    <x v="0"/>
    <x v="1"/>
    <x v="116"/>
    <n v="1199.96"/>
  </r>
  <r>
    <s v="TRX0146"/>
    <x v="81"/>
    <s v="CUST010"/>
    <s v="Maria Garcia"/>
    <s v="P005"/>
    <x v="1"/>
    <x v="1"/>
    <n v="2"/>
    <n v="59.99"/>
    <s v="Credit Card"/>
    <x v="0"/>
    <x v="0"/>
    <x v="47"/>
    <n v="119.98"/>
  </r>
  <r>
    <s v="TRX0203"/>
    <x v="81"/>
    <s v="CUST032"/>
    <s v="Sandra Phillips"/>
    <s v="P003"/>
    <x v="3"/>
    <x v="0"/>
    <n v="4"/>
    <n v="149.99"/>
    <s v="Credit Card"/>
    <x v="2"/>
    <x v="1"/>
    <x v="117"/>
    <n v="599.96"/>
  </r>
  <r>
    <s v="TRX0055"/>
    <x v="82"/>
    <s v="CUST016"/>
    <s v="Elizabeth Hall"/>
    <s v="P002"/>
    <x v="5"/>
    <x v="0"/>
    <n v="2"/>
    <n v="699.99"/>
    <s v="Debit Card"/>
    <x v="4"/>
    <x v="1"/>
    <x v="118"/>
    <n v="1399.98"/>
  </r>
  <r>
    <s v="TRX0218"/>
    <x v="82"/>
    <s v="CUST034"/>
    <s v="Carol Evans"/>
    <s v="P008"/>
    <x v="2"/>
    <x v="2"/>
    <n v="3"/>
    <n v="149.99"/>
    <s v="Credit Card"/>
    <x v="1"/>
    <x v="2"/>
    <x v="119"/>
    <n v="449.97"/>
  </r>
  <r>
    <s v="TRX0085"/>
    <x v="83"/>
    <s v="CUST019"/>
    <s v="Daniel King"/>
    <s v="P007"/>
    <x v="6"/>
    <x v="2"/>
    <n v="3"/>
    <n v="299.99"/>
    <s v="Credit Card"/>
    <x v="0"/>
    <x v="2"/>
    <x v="120"/>
    <n v="899.97"/>
  </r>
  <r>
    <s v="TRX0158"/>
    <x v="84"/>
    <s v="CUST027"/>
    <s v="George Adams"/>
    <s v="P001"/>
    <x v="4"/>
    <x v="0"/>
    <n v="3"/>
    <n v="899.99"/>
    <s v="PayPal"/>
    <x v="3"/>
    <x v="0"/>
    <x v="121"/>
    <n v="2699.97"/>
  </r>
  <r>
    <s v="TRX0173"/>
    <x v="85"/>
    <s v="CUST018"/>
    <s v="Barbara Young"/>
    <s v="P002"/>
    <x v="5"/>
    <x v="0"/>
    <n v="5"/>
    <n v="699.99"/>
    <s v="Cash"/>
    <x v="4"/>
    <x v="2"/>
    <x v="122"/>
    <n v="3499.95"/>
  </r>
  <r>
    <s v="TRX0034"/>
    <x v="85"/>
    <s v="CUST049"/>
    <s v="Raymond Ross"/>
    <s v="P002"/>
    <x v="5"/>
    <x v="0"/>
    <n v="4"/>
    <n v="699.99"/>
    <s v="Credit Card"/>
    <x v="0"/>
    <x v="0"/>
    <x v="123"/>
    <n v="2799.96"/>
  </r>
  <r>
    <s v="TRX0189"/>
    <x v="85"/>
    <s v="CUST040"/>
    <s v="Sharon Butler"/>
    <s v="P001"/>
    <x v="4"/>
    <x v="0"/>
    <n v="1"/>
    <n v="899.99"/>
    <s v="Credit Card"/>
    <x v="4"/>
    <x v="2"/>
    <x v="124"/>
    <n v="899.99"/>
  </r>
  <r>
    <s v="TRX0190"/>
    <x v="86"/>
    <s v="CUST039"/>
    <s v="Lawrence Reed"/>
    <s v="P003"/>
    <x v="3"/>
    <x v="0"/>
    <n v="2"/>
    <n v="149.99"/>
    <s v="Credit Card"/>
    <x v="3"/>
    <x v="0"/>
    <x v="125"/>
    <n v="299.98"/>
  </r>
  <r>
    <s v="TRX0079"/>
    <x v="87"/>
    <s v="CUST039"/>
    <s v="Lawrence Reed"/>
    <s v="P010"/>
    <x v="8"/>
    <x v="0"/>
    <n v="3"/>
    <n v="89.99"/>
    <s v="PayPal"/>
    <x v="0"/>
    <x v="0"/>
    <x v="126"/>
    <n v="269.97000000000003"/>
  </r>
  <r>
    <s v="TRX0095"/>
    <x v="88"/>
    <s v="CUST046"/>
    <s v="Kathleen Bennett"/>
    <s v="P003"/>
    <x v="3"/>
    <x v="0"/>
    <n v="2"/>
    <n v="149.99"/>
    <s v="PayPal"/>
    <x v="0"/>
    <x v="0"/>
    <x v="127"/>
    <n v="299.98"/>
  </r>
  <r>
    <s v="TRX0009"/>
    <x v="88"/>
    <s v="CUST004"/>
    <s v="Sarah Davis"/>
    <s v="P002"/>
    <x v="5"/>
    <x v="0"/>
    <n v="2"/>
    <n v="699.99"/>
    <s v="Cash"/>
    <x v="0"/>
    <x v="0"/>
    <x v="128"/>
    <n v="1399.98"/>
  </r>
  <r>
    <s v="TRX0167"/>
    <x v="89"/>
    <s v="CUST028"/>
    <s v="Betty Campbell"/>
    <s v="P002"/>
    <x v="5"/>
    <x v="0"/>
    <n v="5"/>
    <n v="699.99"/>
    <s v="Cash"/>
    <x v="2"/>
    <x v="1"/>
    <x v="129"/>
    <n v="3499.95"/>
  </r>
  <r>
    <s v="TRX0153"/>
    <x v="90"/>
    <s v="CUST049"/>
    <s v="Raymond Ross"/>
    <s v="P010"/>
    <x v="8"/>
    <x v="0"/>
    <n v="3"/>
    <n v="89.99"/>
    <s v="Credit Card"/>
    <x v="2"/>
    <x v="2"/>
    <x v="130"/>
    <n v="269.97000000000003"/>
  </r>
  <r>
    <s v="TRX0057"/>
    <x v="91"/>
    <s v="CUST023"/>
    <s v="Paul Baker"/>
    <s v="P009"/>
    <x v="0"/>
    <x v="0"/>
    <n v="5"/>
    <n v="249.99"/>
    <s v="Credit Card"/>
    <x v="1"/>
    <x v="2"/>
    <x v="131"/>
    <n v="1249.95"/>
  </r>
  <r>
    <s v="TRX0017"/>
    <x v="92"/>
    <s v="CUST026"/>
    <s v="Karen Hill"/>
    <s v="P007"/>
    <x v="6"/>
    <x v="2"/>
    <n v="3"/>
    <n v="299.99"/>
    <s v="Credit Card"/>
    <x v="1"/>
    <x v="2"/>
    <x v="132"/>
    <n v="899.97"/>
  </r>
  <r>
    <s v="TRX0060"/>
    <x v="93"/>
    <s v="CUST012"/>
    <s v="Patricia Moore"/>
    <s v="P010"/>
    <x v="8"/>
    <x v="0"/>
    <n v="3"/>
    <n v="89.99"/>
    <s v="Credit Card"/>
    <x v="2"/>
    <x v="1"/>
    <x v="133"/>
    <n v="269.97000000000003"/>
  </r>
  <r>
    <s v="TRX0109"/>
    <x v="94"/>
    <s v="CUST010"/>
    <s v="Maria Garcia"/>
    <s v="P008"/>
    <x v="2"/>
    <x v="2"/>
    <n v="2"/>
    <n v="149.99"/>
    <s v="Credit Card"/>
    <x v="3"/>
    <x v="1"/>
    <x v="134"/>
    <n v="299.98"/>
  </r>
  <r>
    <s v="TRX0090"/>
    <x v="95"/>
    <s v="CUST020"/>
    <s v="Margaret Wright"/>
    <s v="P009"/>
    <x v="0"/>
    <x v="0"/>
    <n v="1"/>
    <n v="249.99"/>
    <s v="Credit Card"/>
    <x v="2"/>
    <x v="1"/>
    <x v="135"/>
    <n v="249.99"/>
  </r>
  <r>
    <s v="TRX0035"/>
    <x v="96"/>
    <s v="CUST041"/>
    <s v="Peter Richardson"/>
    <s v="P003"/>
    <x v="3"/>
    <x v="0"/>
    <n v="3"/>
    <n v="149.99"/>
    <s v="Cash"/>
    <x v="2"/>
    <x v="0"/>
    <x v="136"/>
    <n v="449.97"/>
  </r>
  <r>
    <s v="TRX0172"/>
    <x v="96"/>
    <s v="CUST023"/>
    <s v="Paul Baker"/>
    <s v="P005"/>
    <x v="1"/>
    <x v="1"/>
    <n v="5"/>
    <n v="59.99"/>
    <s v="PayPal"/>
    <x v="3"/>
    <x v="1"/>
    <x v="137"/>
    <n v="299.95"/>
  </r>
  <r>
    <s v="TRX0076"/>
    <x v="96"/>
    <s v="CUST012"/>
    <s v="Patricia Moore"/>
    <s v="P009"/>
    <x v="0"/>
    <x v="0"/>
    <n v="4"/>
    <n v="249.99"/>
    <s v="Credit Card"/>
    <x v="3"/>
    <x v="2"/>
    <x v="138"/>
    <n v="999.96"/>
  </r>
  <r>
    <s v="TRX0210"/>
    <x v="97"/>
    <s v="CUST004"/>
    <s v="Sarah Davis"/>
    <s v="P008"/>
    <x v="2"/>
    <x v="2"/>
    <n v="5"/>
    <n v="149.99"/>
    <s v="PayPal"/>
    <x v="0"/>
    <x v="0"/>
    <x v="139"/>
    <n v="749.95"/>
  </r>
  <r>
    <s v="TRX0149"/>
    <x v="97"/>
    <s v="CUST027"/>
    <s v="George Adams"/>
    <s v="P005"/>
    <x v="1"/>
    <x v="1"/>
    <n v="3"/>
    <n v="59.99"/>
    <s v="Debit Card"/>
    <x v="1"/>
    <x v="2"/>
    <x v="140"/>
    <n v="179.97"/>
  </r>
  <r>
    <s v="TRX0073"/>
    <x v="98"/>
    <s v="CUST032"/>
    <s v="Sandra Phillips"/>
    <s v="P008"/>
    <x v="2"/>
    <x v="2"/>
    <n v="5"/>
    <n v="149.99"/>
    <s v="Cash"/>
    <x v="2"/>
    <x v="0"/>
    <x v="141"/>
    <n v="749.95"/>
  </r>
  <r>
    <s v="TRX0033"/>
    <x v="98"/>
    <s v="CUST025"/>
    <s v="Mark Carter"/>
    <s v="P002"/>
    <x v="5"/>
    <x v="0"/>
    <n v="2"/>
    <n v="699.99"/>
    <s v="PayPal"/>
    <x v="3"/>
    <x v="2"/>
    <x v="142"/>
    <n v="1399.98"/>
  </r>
  <r>
    <s v="TRX0160"/>
    <x v="99"/>
    <s v="CUST029"/>
    <s v="Edward Mitchell"/>
    <s v="P006"/>
    <x v="9"/>
    <x v="2"/>
    <n v="4"/>
    <n v="199.99"/>
    <s v="Debit Card"/>
    <x v="0"/>
    <x v="1"/>
    <x v="143"/>
    <n v="799.96"/>
  </r>
  <r>
    <s v="TRX0145"/>
    <x v="100"/>
    <s v="CUST033"/>
    <s v="Frank Torres"/>
    <s v="P005"/>
    <x v="1"/>
    <x v="1"/>
    <n v="1"/>
    <n v="59.99"/>
    <s v="Debit Card"/>
    <x v="3"/>
    <x v="2"/>
    <x v="144"/>
    <n v="59.99"/>
  </r>
  <r>
    <s v="TRX0148"/>
    <x v="100"/>
    <s v="CUST004"/>
    <s v="Sarah Davis"/>
    <s v="P002"/>
    <x v="5"/>
    <x v="0"/>
    <n v="3"/>
    <n v="699.99"/>
    <s v="PayPal"/>
    <x v="3"/>
    <x v="2"/>
    <x v="145"/>
    <n v="2099.9699999999998"/>
  </r>
  <r>
    <s v="TRX0012"/>
    <x v="101"/>
    <s v="CUST045"/>
    <s v="Douglas Watson"/>
    <s v="P009"/>
    <x v="0"/>
    <x v="0"/>
    <n v="5"/>
    <n v="249.99"/>
    <s v="Credit Card"/>
    <x v="2"/>
    <x v="0"/>
    <x v="146"/>
    <n v="1249.95"/>
  </r>
  <r>
    <s v="TRX0206"/>
    <x v="102"/>
    <s v="CUST014"/>
    <s v="Linda Martin"/>
    <s v="P008"/>
    <x v="2"/>
    <x v="2"/>
    <n v="2"/>
    <n v="149.99"/>
    <s v="Cash"/>
    <x v="1"/>
    <x v="2"/>
    <x v="147"/>
    <n v="299.98"/>
  </r>
  <r>
    <s v="TRX0045"/>
    <x v="103"/>
    <s v="CUST021"/>
    <s v="Kevin Scott"/>
    <s v="P007"/>
    <x v="6"/>
    <x v="2"/>
    <n v="3"/>
    <n v="299.99"/>
    <s v="Cash"/>
    <x v="1"/>
    <x v="1"/>
    <x v="138"/>
    <n v="899.97"/>
  </r>
  <r>
    <s v="TRX0094"/>
    <x v="103"/>
    <s v="CUST017"/>
    <s v="Charles Allen"/>
    <s v="P009"/>
    <x v="0"/>
    <x v="0"/>
    <n v="5"/>
    <n v="249.99"/>
    <s v="Cash"/>
    <x v="0"/>
    <x v="1"/>
    <x v="148"/>
    <n v="1249.95"/>
  </r>
  <r>
    <s v="TRX0133"/>
    <x v="103"/>
    <s v="CUST013"/>
    <s v="Joseph Jackson"/>
    <s v="P003"/>
    <x v="3"/>
    <x v="0"/>
    <n v="2"/>
    <n v="149.99"/>
    <s v="Cash"/>
    <x v="1"/>
    <x v="1"/>
    <x v="149"/>
    <n v="299.98"/>
  </r>
  <r>
    <s v="TRX0201"/>
    <x v="103"/>
    <s v="CUST025"/>
    <s v="Mark Carter"/>
    <s v="P002"/>
    <x v="5"/>
    <x v="0"/>
    <n v="5"/>
    <n v="699.99"/>
    <s v="Debit Card"/>
    <x v="3"/>
    <x v="2"/>
    <x v="150"/>
    <n v="3499.95"/>
  </r>
  <r>
    <s v="TRX0137"/>
    <x v="104"/>
    <s v="CUST011"/>
    <s v="William White"/>
    <s v="P009"/>
    <x v="0"/>
    <x v="0"/>
    <n v="4"/>
    <n v="249.99"/>
    <s v="PayPal"/>
    <x v="4"/>
    <x v="1"/>
    <x v="151"/>
    <n v="999.96"/>
  </r>
  <r>
    <s v="TRX0066"/>
    <x v="105"/>
    <s v="CUST024"/>
    <s v="Dorothy Nelson"/>
    <s v="P002"/>
    <x v="5"/>
    <x v="0"/>
    <n v="4"/>
    <n v="699.99"/>
    <s v="Credit Card"/>
    <x v="2"/>
    <x v="1"/>
    <x v="152"/>
    <n v="2799.96"/>
  </r>
  <r>
    <s v="TRX0180"/>
    <x v="106"/>
    <s v="CUST036"/>
    <s v="Nancy Collins"/>
    <s v="P009"/>
    <x v="0"/>
    <x v="0"/>
    <n v="2"/>
    <n v="249.99"/>
    <s v="Credit Card"/>
    <x v="0"/>
    <x v="1"/>
    <x v="153"/>
    <n v="499.98"/>
  </r>
  <r>
    <s v="TRX0082"/>
    <x v="106"/>
    <s v="CUST005"/>
    <s v="James Johnson"/>
    <s v="P005"/>
    <x v="1"/>
    <x v="1"/>
    <n v="3"/>
    <n v="59.99"/>
    <s v="Cash"/>
    <x v="0"/>
    <x v="1"/>
    <x v="154"/>
    <n v="179.97"/>
  </r>
  <r>
    <s v="TRX0036"/>
    <x v="106"/>
    <s v="CUST008"/>
    <s v="Jennifer Taylor"/>
    <s v="P004"/>
    <x v="7"/>
    <x v="1"/>
    <n v="4"/>
    <n v="79.989999999999995"/>
    <s v="Debit Card"/>
    <x v="4"/>
    <x v="2"/>
    <x v="155"/>
    <n v="319.95999999999998"/>
  </r>
  <r>
    <s v="TRX0198"/>
    <x v="107"/>
    <s v="CUST030"/>
    <s v="Helen Roberts"/>
    <s v="P004"/>
    <x v="7"/>
    <x v="1"/>
    <n v="3"/>
    <n v="79.989999999999995"/>
    <s v="Debit Card"/>
    <x v="4"/>
    <x v="2"/>
    <x v="96"/>
    <n v="239.97"/>
  </r>
  <r>
    <s v="TRX0032"/>
    <x v="108"/>
    <s v="CUST041"/>
    <s v="Peter Richardson"/>
    <s v="P001"/>
    <x v="4"/>
    <x v="0"/>
    <n v="2"/>
    <n v="899.99"/>
    <s v="Cash"/>
    <x v="2"/>
    <x v="0"/>
    <x v="156"/>
    <n v="1799.98"/>
  </r>
  <r>
    <s v="TRX0081"/>
    <x v="109"/>
    <s v="CUST007"/>
    <s v="David Martinez"/>
    <s v="P008"/>
    <x v="2"/>
    <x v="2"/>
    <n v="1"/>
    <n v="149.99"/>
    <s v="Debit Card"/>
    <x v="4"/>
    <x v="2"/>
    <x v="157"/>
    <n v="149.99"/>
  </r>
  <r>
    <s v="TRX0224"/>
    <x v="109"/>
    <s v="CUST031"/>
    <s v="Steven Turner"/>
    <s v="P007"/>
    <x v="6"/>
    <x v="2"/>
    <n v="2"/>
    <n v="299.99"/>
    <s v="Cash"/>
    <x v="4"/>
    <x v="1"/>
    <x v="158"/>
    <n v="599.98"/>
  </r>
  <r>
    <s v="TRX0028"/>
    <x v="110"/>
    <s v="CUST002"/>
    <s v="Emma Wilson"/>
    <s v="P005"/>
    <x v="1"/>
    <x v="1"/>
    <n v="2"/>
    <n v="59.99"/>
    <s v="Cash"/>
    <x v="3"/>
    <x v="0"/>
    <x v="159"/>
    <n v="119.98"/>
  </r>
  <r>
    <s v="TRX0183"/>
    <x v="111"/>
    <s v="CUST007"/>
    <s v="David Martinez"/>
    <s v="P010"/>
    <x v="8"/>
    <x v="0"/>
    <n v="1"/>
    <n v="89.99"/>
    <s v="Debit Card"/>
    <x v="0"/>
    <x v="2"/>
    <x v="160"/>
    <n v="89.99"/>
  </r>
  <r>
    <s v="TRX0163"/>
    <x v="111"/>
    <s v="CUST019"/>
    <s v="Daniel King"/>
    <s v="P001"/>
    <x v="4"/>
    <x v="0"/>
    <n v="5"/>
    <n v="899.99"/>
    <s v="Debit Card"/>
    <x v="4"/>
    <x v="2"/>
    <x v="161"/>
    <n v="4499.95"/>
  </r>
  <r>
    <s v="TRX0046"/>
    <x v="112"/>
    <s v="CUST003"/>
    <s v="Michael Brown"/>
    <s v="P008"/>
    <x v="2"/>
    <x v="2"/>
    <n v="2"/>
    <n v="149.99"/>
    <s v="Cash"/>
    <x v="1"/>
    <x v="0"/>
    <x v="162"/>
    <n v="299.98"/>
  </r>
  <r>
    <s v="TRX0164"/>
    <x v="113"/>
    <s v="CUST014"/>
    <s v="Linda Martin"/>
    <s v="P003"/>
    <x v="3"/>
    <x v="0"/>
    <n v="2"/>
    <n v="149.99"/>
    <s v="Debit Card"/>
    <x v="3"/>
    <x v="1"/>
    <x v="163"/>
    <n v="299.98"/>
  </r>
  <r>
    <s v="TRX0008"/>
    <x v="113"/>
    <s v="CUST007"/>
    <s v="David Martinez"/>
    <s v="P008"/>
    <x v="2"/>
    <x v="2"/>
    <n v="3"/>
    <n v="149.99"/>
    <s v="Debit Card"/>
    <x v="2"/>
    <x v="2"/>
    <x v="164"/>
    <n v="449.97"/>
  </r>
  <r>
    <s v="TRX0171"/>
    <x v="114"/>
    <s v="CUST021"/>
    <s v="Kevin Scott"/>
    <s v="P007"/>
    <x v="6"/>
    <x v="2"/>
    <n v="2"/>
    <n v="299.99"/>
    <s v="PayPal"/>
    <x v="1"/>
    <x v="0"/>
    <x v="165"/>
    <n v="599.98"/>
  </r>
  <r>
    <s v="TRX0143"/>
    <x v="115"/>
    <s v="CUST003"/>
    <s v="Michael Brown"/>
    <s v="P007"/>
    <x v="6"/>
    <x v="2"/>
    <n v="2"/>
    <n v="299.99"/>
    <s v="Cash"/>
    <x v="3"/>
    <x v="0"/>
    <x v="166"/>
    <n v="599.98"/>
  </r>
  <r>
    <s v="TRX0165"/>
    <x v="115"/>
    <s v="CUST030"/>
    <s v="Helen Roberts"/>
    <s v="P006"/>
    <x v="9"/>
    <x v="2"/>
    <n v="4"/>
    <n v="199.99"/>
    <s v="Credit Card"/>
    <x v="0"/>
    <x v="0"/>
    <x v="82"/>
    <n v="799.96"/>
  </r>
  <r>
    <s v="TRX0156"/>
    <x v="116"/>
    <s v="CUST009"/>
    <s v="Robert Thomas"/>
    <s v="P010"/>
    <x v="8"/>
    <x v="0"/>
    <n v="1"/>
    <n v="89.99"/>
    <s v="Credit Card"/>
    <x v="1"/>
    <x v="1"/>
    <x v="167"/>
    <n v="89.99"/>
  </r>
  <r>
    <s v="TRX0147"/>
    <x v="116"/>
    <s v="CUST036"/>
    <s v="Nancy Collins"/>
    <s v="P008"/>
    <x v="2"/>
    <x v="2"/>
    <n v="5"/>
    <n v="149.99"/>
    <s v="Cash"/>
    <x v="0"/>
    <x v="1"/>
    <x v="168"/>
    <n v="749.95"/>
  </r>
  <r>
    <s v="TRX0207"/>
    <x v="117"/>
    <s v="CUST025"/>
    <s v="Mark Carter"/>
    <s v="P001"/>
    <x v="4"/>
    <x v="0"/>
    <n v="1"/>
    <n v="899.99"/>
    <s v="PayPal"/>
    <x v="2"/>
    <x v="1"/>
    <x v="169"/>
    <n v="899.99"/>
  </r>
  <r>
    <s v="TRX0056"/>
    <x v="118"/>
    <s v="CUST019"/>
    <s v="Daniel King"/>
    <s v="P010"/>
    <x v="8"/>
    <x v="0"/>
    <n v="2"/>
    <n v="89.99"/>
    <s v="Credit Card"/>
    <x v="1"/>
    <x v="1"/>
    <x v="170"/>
    <n v="179.98"/>
  </r>
  <r>
    <s v="TRX0026"/>
    <x v="119"/>
    <s v="CUST037"/>
    <s v="Arthur Edwards"/>
    <s v="P001"/>
    <x v="4"/>
    <x v="0"/>
    <n v="1"/>
    <n v="899.99"/>
    <s v="PayPal"/>
    <x v="2"/>
    <x v="2"/>
    <x v="171"/>
    <n v="899.99"/>
  </r>
  <r>
    <s v="TRX0237"/>
    <x v="120"/>
    <s v="CUST006"/>
    <s v="Lisa Anderson"/>
    <s v="P003"/>
    <x v="3"/>
    <x v="0"/>
    <n v="5"/>
    <n v="149.99"/>
    <s v="PayPal"/>
    <x v="4"/>
    <x v="1"/>
    <x v="34"/>
    <n v="749.95"/>
  </r>
  <r>
    <s v="TRX0091"/>
    <x v="120"/>
    <s v="CUST003"/>
    <s v="Michael Brown"/>
    <s v="P007"/>
    <x v="6"/>
    <x v="2"/>
    <n v="3"/>
    <n v="299.99"/>
    <s v="Cash"/>
    <x v="1"/>
    <x v="2"/>
    <x v="172"/>
    <n v="899.97"/>
  </r>
  <r>
    <s v="TRX0125"/>
    <x v="121"/>
    <s v="CUST026"/>
    <s v="Karen Hill"/>
    <s v="P002"/>
    <x v="5"/>
    <x v="0"/>
    <n v="3"/>
    <n v="699.99"/>
    <s v="Credit Card"/>
    <x v="0"/>
    <x v="1"/>
    <x v="173"/>
    <n v="2099.9699999999998"/>
  </r>
  <r>
    <s v="TRX0223"/>
    <x v="122"/>
    <s v="CUST036"/>
    <s v="Nancy Collins"/>
    <s v="P006"/>
    <x v="9"/>
    <x v="2"/>
    <n v="5"/>
    <n v="199.99"/>
    <s v="PayPal"/>
    <x v="0"/>
    <x v="2"/>
    <x v="174"/>
    <n v="999.95"/>
  </r>
  <r>
    <s v="TRX0243"/>
    <x v="122"/>
    <s v="CUST048"/>
    <s v="Virginia Sanders"/>
    <s v="P009"/>
    <x v="0"/>
    <x v="0"/>
    <n v="5"/>
    <n v="249.99"/>
    <s v="Credit Card"/>
    <x v="1"/>
    <x v="0"/>
    <x v="175"/>
    <n v="1249.95"/>
  </r>
  <r>
    <s v="TRX0084"/>
    <x v="123"/>
    <s v="CUST031"/>
    <s v="Steven Turner"/>
    <s v="P003"/>
    <x v="3"/>
    <x v="0"/>
    <n v="4"/>
    <n v="149.99"/>
    <s v="Debit Card"/>
    <x v="4"/>
    <x v="2"/>
    <x v="176"/>
    <n v="599.96"/>
  </r>
  <r>
    <s v="TRX0238"/>
    <x v="123"/>
    <s v="CUST038"/>
    <s v="Michelle Rogers"/>
    <s v="P002"/>
    <x v="5"/>
    <x v="0"/>
    <n v="3"/>
    <n v="699.99"/>
    <s v="Cash"/>
    <x v="2"/>
    <x v="1"/>
    <x v="177"/>
    <n v="2099.9699999999998"/>
  </r>
  <r>
    <s v="TRX0102"/>
    <x v="124"/>
    <s v="CUST045"/>
    <s v="Douglas Watson"/>
    <s v="P004"/>
    <x v="7"/>
    <x v="1"/>
    <n v="1"/>
    <n v="79.989999999999995"/>
    <s v="Credit Card"/>
    <x v="1"/>
    <x v="0"/>
    <x v="178"/>
    <n v="79.989999999999995"/>
  </r>
  <r>
    <s v="TRX0022"/>
    <x v="124"/>
    <s v="CUST025"/>
    <s v="Mark Carter"/>
    <s v="P007"/>
    <x v="6"/>
    <x v="2"/>
    <n v="1"/>
    <n v="299.99"/>
    <s v="Credit Card"/>
    <x v="2"/>
    <x v="0"/>
    <x v="179"/>
    <n v="299.99"/>
  </r>
  <r>
    <s v="TRX0087"/>
    <x v="125"/>
    <s v="CUST028"/>
    <s v="Betty Campbell"/>
    <s v="P009"/>
    <x v="0"/>
    <x v="0"/>
    <n v="4"/>
    <n v="249.99"/>
    <s v="Credit Card"/>
    <x v="2"/>
    <x v="1"/>
    <x v="116"/>
    <n v="999.96"/>
  </r>
  <r>
    <s v="TRX0107"/>
    <x v="125"/>
    <s v="CUST030"/>
    <s v="Helen Roberts"/>
    <s v="P003"/>
    <x v="3"/>
    <x v="0"/>
    <n v="2"/>
    <n v="149.99"/>
    <s v="Cash"/>
    <x v="2"/>
    <x v="2"/>
    <x v="180"/>
    <n v="299.98"/>
  </r>
  <r>
    <s v="TRX0051"/>
    <x v="125"/>
    <s v="CUST032"/>
    <s v="Sandra Phillips"/>
    <s v="P007"/>
    <x v="6"/>
    <x v="2"/>
    <n v="3"/>
    <n v="299.99"/>
    <s v="Credit Card"/>
    <x v="1"/>
    <x v="0"/>
    <x v="181"/>
    <n v="899.97"/>
  </r>
  <r>
    <s v="TRX0106"/>
    <x v="126"/>
    <s v="CUST039"/>
    <s v="Lawrence Reed"/>
    <s v="P006"/>
    <x v="9"/>
    <x v="2"/>
    <n v="4"/>
    <n v="199.99"/>
    <s v="Debit Card"/>
    <x v="1"/>
    <x v="2"/>
    <x v="182"/>
    <n v="799.96"/>
  </r>
  <r>
    <s v="TRX0059"/>
    <x v="126"/>
    <s v="CUST016"/>
    <s v="Elizabeth Hall"/>
    <s v="P007"/>
    <x v="6"/>
    <x v="2"/>
    <n v="5"/>
    <n v="299.99"/>
    <s v="Debit Card"/>
    <x v="0"/>
    <x v="0"/>
    <x v="183"/>
    <n v="1499.95"/>
  </r>
  <r>
    <s v="TRX0072"/>
    <x v="126"/>
    <s v="CUST009"/>
    <s v="Robert Thomas"/>
    <s v="P008"/>
    <x v="2"/>
    <x v="2"/>
    <n v="3"/>
    <n v="149.99"/>
    <s v="Credit Card"/>
    <x v="4"/>
    <x v="2"/>
    <x v="184"/>
    <n v="449.97"/>
  </r>
  <r>
    <s v="TRX0110"/>
    <x v="127"/>
    <s v="CUST006"/>
    <s v="Lisa Anderson"/>
    <s v="P005"/>
    <x v="1"/>
    <x v="1"/>
    <n v="5"/>
    <n v="59.99"/>
    <s v="Debit Card"/>
    <x v="4"/>
    <x v="0"/>
    <x v="185"/>
    <n v="299.95"/>
  </r>
  <r>
    <s v="TRX0126"/>
    <x v="128"/>
    <s v="CUST022"/>
    <s v="Susan Green"/>
    <s v="P005"/>
    <x v="1"/>
    <x v="1"/>
    <n v="4"/>
    <n v="59.99"/>
    <s v="Debit Card"/>
    <x v="4"/>
    <x v="2"/>
    <x v="170"/>
    <n v="239.96"/>
  </r>
  <r>
    <s v="TRX0159"/>
    <x v="129"/>
    <s v="CUST024"/>
    <s v="Dorothy Nelson"/>
    <s v="P009"/>
    <x v="0"/>
    <x v="0"/>
    <n v="4"/>
    <n v="249.99"/>
    <s v="Debit Card"/>
    <x v="0"/>
    <x v="1"/>
    <x v="186"/>
    <n v="999.96"/>
  </r>
  <r>
    <s v="TRX0030"/>
    <x v="130"/>
    <s v="CUST011"/>
    <s v="William White"/>
    <s v="P001"/>
    <x v="4"/>
    <x v="0"/>
    <n v="4"/>
    <n v="899.99"/>
    <s v="PayPal"/>
    <x v="0"/>
    <x v="0"/>
    <x v="187"/>
    <n v="3599.96"/>
  </r>
  <r>
    <s v="TRX0178"/>
    <x v="130"/>
    <s v="CUST025"/>
    <s v="Mark Carter"/>
    <s v="P007"/>
    <x v="6"/>
    <x v="2"/>
    <n v="3"/>
    <n v="299.99"/>
    <s v="Debit Card"/>
    <x v="3"/>
    <x v="2"/>
    <x v="188"/>
    <n v="899.97"/>
  </r>
  <r>
    <s v="TRX0188"/>
    <x v="130"/>
    <s v="CUST045"/>
    <s v="Douglas Watson"/>
    <s v="P002"/>
    <x v="5"/>
    <x v="0"/>
    <n v="2"/>
    <n v="699.99"/>
    <s v="Debit Card"/>
    <x v="0"/>
    <x v="1"/>
    <x v="189"/>
    <n v="1399.98"/>
  </r>
  <r>
    <s v="TRX0010"/>
    <x v="131"/>
    <s v="CUST026"/>
    <s v="Karen Hill"/>
    <s v="P002"/>
    <x v="5"/>
    <x v="0"/>
    <n v="4"/>
    <n v="699.99"/>
    <s v="Debit Card"/>
    <x v="3"/>
    <x v="1"/>
    <x v="190"/>
    <n v="2799.96"/>
  </r>
  <r>
    <s v="TRX0069"/>
    <x v="131"/>
    <s v="CUST029"/>
    <s v="Edward Mitchell"/>
    <s v="P010"/>
    <x v="8"/>
    <x v="0"/>
    <n v="2"/>
    <n v="89.99"/>
    <s v="Debit Card"/>
    <x v="1"/>
    <x v="0"/>
    <x v="191"/>
    <n v="179.98"/>
  </r>
  <r>
    <s v="TRX0166"/>
    <x v="131"/>
    <s v="CUST003"/>
    <s v="Michael Brown"/>
    <s v="P010"/>
    <x v="8"/>
    <x v="0"/>
    <n v="3"/>
    <n v="89.99"/>
    <s v="Debit Card"/>
    <x v="1"/>
    <x v="1"/>
    <x v="192"/>
    <n v="269.97000000000003"/>
  </r>
  <r>
    <s v="TRX0219"/>
    <x v="132"/>
    <s v="CUST037"/>
    <s v="Arthur Edwards"/>
    <s v="P005"/>
    <x v="1"/>
    <x v="1"/>
    <n v="1"/>
    <n v="59.99"/>
    <s v="Debit Card"/>
    <x v="0"/>
    <x v="2"/>
    <x v="193"/>
    <n v="59.99"/>
  </r>
  <r>
    <s v="TRX0024"/>
    <x v="133"/>
    <s v="CUST042"/>
    <s v="Ruth Brooks"/>
    <s v="P008"/>
    <x v="2"/>
    <x v="2"/>
    <n v="3"/>
    <n v="149.99"/>
    <s v="Debit Card"/>
    <x v="2"/>
    <x v="1"/>
    <x v="170"/>
    <n v="449.97"/>
  </r>
  <r>
    <s v="TRX0105"/>
    <x v="133"/>
    <s v="CUST048"/>
    <s v="Virginia Sanders"/>
    <s v="P007"/>
    <x v="6"/>
    <x v="2"/>
    <n v="5"/>
    <n v="299.99"/>
    <s v="Credit Card"/>
    <x v="1"/>
    <x v="0"/>
    <x v="194"/>
    <n v="1499.95"/>
  </r>
  <r>
    <s v="TRX0011"/>
    <x v="134"/>
    <s v="CUST040"/>
    <s v="Sharon Butler"/>
    <s v="P005"/>
    <x v="1"/>
    <x v="1"/>
    <n v="5"/>
    <n v="59.99"/>
    <s v="Debit Card"/>
    <x v="0"/>
    <x v="2"/>
    <x v="195"/>
    <n v="299.95"/>
  </r>
  <r>
    <s v="TRX0187"/>
    <x v="135"/>
    <s v="CUST036"/>
    <s v="Nancy Collins"/>
    <s v="P004"/>
    <x v="7"/>
    <x v="1"/>
    <n v="3"/>
    <n v="79.989999999999995"/>
    <s v="Cash"/>
    <x v="4"/>
    <x v="1"/>
    <x v="179"/>
    <n v="239.97"/>
  </r>
  <r>
    <s v="TRX0089"/>
    <x v="136"/>
    <s v="CUST021"/>
    <s v="Kevin Scott"/>
    <s v="P006"/>
    <x v="9"/>
    <x v="2"/>
    <n v="3"/>
    <n v="199.99"/>
    <s v="Cash"/>
    <x v="0"/>
    <x v="0"/>
    <x v="196"/>
    <n v="599.97"/>
  </r>
  <r>
    <s v="TRX0196"/>
    <x v="136"/>
    <s v="CUST023"/>
    <s v="Paul Baker"/>
    <s v="P010"/>
    <x v="8"/>
    <x v="0"/>
    <n v="2"/>
    <n v="89.99"/>
    <s v="PayPal"/>
    <x v="0"/>
    <x v="0"/>
    <x v="197"/>
    <n v="179.98"/>
  </r>
  <r>
    <s v="TRX0118"/>
    <x v="137"/>
    <s v="CUST015"/>
    <s v="Richard Lee"/>
    <s v="P008"/>
    <x v="2"/>
    <x v="2"/>
    <n v="2"/>
    <n v="149.99"/>
    <s v="Cash"/>
    <x v="1"/>
    <x v="1"/>
    <x v="198"/>
    <n v="299.98"/>
  </r>
  <r>
    <s v="TRX0179"/>
    <x v="138"/>
    <s v="CUST029"/>
    <s v="Edward Mitchell"/>
    <s v="P002"/>
    <x v="5"/>
    <x v="0"/>
    <n v="5"/>
    <n v="699.99"/>
    <s v="PayPal"/>
    <x v="1"/>
    <x v="1"/>
    <x v="54"/>
    <n v="3499.95"/>
  </r>
  <r>
    <s v="TRX0168"/>
    <x v="138"/>
    <s v="CUST003"/>
    <s v="Michael Brown"/>
    <s v="P008"/>
    <x v="2"/>
    <x v="2"/>
    <n v="3"/>
    <n v="149.99"/>
    <s v="PayPal"/>
    <x v="0"/>
    <x v="2"/>
    <x v="174"/>
    <n v="449.97"/>
  </r>
  <r>
    <s v="TRX0214"/>
    <x v="139"/>
    <s v="CUST018"/>
    <s v="Barbara Young"/>
    <s v="P001"/>
    <x v="4"/>
    <x v="0"/>
    <n v="3"/>
    <n v="899.99"/>
    <s v="Cash"/>
    <x v="4"/>
    <x v="2"/>
    <x v="199"/>
    <n v="2699.97"/>
  </r>
  <r>
    <s v="TRX0221"/>
    <x v="139"/>
    <s v="CUST033"/>
    <s v="Frank Torres"/>
    <s v="P006"/>
    <x v="9"/>
    <x v="2"/>
    <n v="3"/>
    <n v="199.99"/>
    <s v="Cash"/>
    <x v="3"/>
    <x v="1"/>
    <x v="31"/>
    <n v="599.97"/>
  </r>
  <r>
    <s v="TRX0083"/>
    <x v="140"/>
    <s v="CUST017"/>
    <s v="Charles Allen"/>
    <s v="P007"/>
    <x v="6"/>
    <x v="2"/>
    <n v="5"/>
    <n v="299.99"/>
    <s v="Cash"/>
    <x v="3"/>
    <x v="2"/>
    <x v="200"/>
    <n v="1499.95"/>
  </r>
  <r>
    <s v="TRX0151"/>
    <x v="140"/>
    <s v="CUST040"/>
    <s v="Sharon Butler"/>
    <s v="P002"/>
    <x v="5"/>
    <x v="0"/>
    <n v="1"/>
    <n v="699.99"/>
    <s v="PayPal"/>
    <x v="3"/>
    <x v="0"/>
    <x v="201"/>
    <n v="699.99"/>
  </r>
  <r>
    <s v="TRX0047"/>
    <x v="141"/>
    <s v="CUST042"/>
    <s v="Ruth Brooks"/>
    <s v="P002"/>
    <x v="5"/>
    <x v="0"/>
    <n v="1"/>
    <n v="699.99"/>
    <s v="Cash"/>
    <x v="2"/>
    <x v="1"/>
    <x v="145"/>
    <n v="699.99"/>
  </r>
  <r>
    <s v="TRX0200"/>
    <x v="141"/>
    <s v="CUST037"/>
    <s v="Arthur Edwards"/>
    <s v="P008"/>
    <x v="2"/>
    <x v="2"/>
    <n v="4"/>
    <n v="149.99"/>
    <s v="PayPal"/>
    <x v="2"/>
    <x v="1"/>
    <x v="30"/>
    <n v="599.96"/>
  </r>
  <r>
    <s v="TRX0062"/>
    <x v="141"/>
    <s v="CUST016"/>
    <s v="Elizabeth Hall"/>
    <s v="P010"/>
    <x v="8"/>
    <x v="0"/>
    <n v="5"/>
    <n v="89.99"/>
    <s v="PayPal"/>
    <x v="3"/>
    <x v="1"/>
    <x v="202"/>
    <n v="449.95"/>
  </r>
  <r>
    <s v="TRX0182"/>
    <x v="142"/>
    <s v="CUST031"/>
    <s v="Steven Turner"/>
    <s v="P006"/>
    <x v="9"/>
    <x v="2"/>
    <n v="2"/>
    <n v="199.99"/>
    <s v="Cash"/>
    <x v="0"/>
    <x v="1"/>
    <x v="203"/>
    <n v="399.98"/>
  </r>
  <r>
    <s v="TRX0229"/>
    <x v="143"/>
    <s v="CUST015"/>
    <s v="Richard Lee"/>
    <s v="P005"/>
    <x v="1"/>
    <x v="1"/>
    <n v="4"/>
    <n v="59.99"/>
    <s v="Cash"/>
    <x v="3"/>
    <x v="2"/>
    <x v="204"/>
    <n v="239.96"/>
  </r>
  <r>
    <s v="TRX0048"/>
    <x v="143"/>
    <s v="CUST048"/>
    <s v="Virginia Sanders"/>
    <s v="P007"/>
    <x v="6"/>
    <x v="2"/>
    <n v="2"/>
    <n v="299.99"/>
    <s v="PayPal"/>
    <x v="1"/>
    <x v="0"/>
    <x v="205"/>
    <n v="599.98"/>
  </r>
  <r>
    <s v="TRX0227"/>
    <x v="144"/>
    <s v="CUST017"/>
    <s v="Charles Allen"/>
    <s v="P008"/>
    <x v="2"/>
    <x v="2"/>
    <n v="2"/>
    <n v="149.99"/>
    <s v="Cash"/>
    <x v="0"/>
    <x v="0"/>
    <x v="32"/>
    <n v="299.98"/>
  </r>
  <r>
    <s v="TRX0226"/>
    <x v="145"/>
    <s v="CUST039"/>
    <s v="Lawrence Reed"/>
    <s v="P002"/>
    <x v="5"/>
    <x v="0"/>
    <n v="5"/>
    <n v="699.99"/>
    <s v="Debit Card"/>
    <x v="4"/>
    <x v="1"/>
    <x v="65"/>
    <n v="3499.95"/>
  </r>
  <r>
    <s v="TRX0053"/>
    <x v="146"/>
    <s v="CUST043"/>
    <s v="Dennis Gray"/>
    <s v="P005"/>
    <x v="1"/>
    <x v="1"/>
    <n v="5"/>
    <n v="59.99"/>
    <s v="Cash"/>
    <x v="3"/>
    <x v="1"/>
    <x v="206"/>
    <n v="299.95"/>
  </r>
  <r>
    <s v="TRX0233"/>
    <x v="147"/>
    <s v="CUST023"/>
    <s v="Paul Baker"/>
    <s v="P010"/>
    <x v="8"/>
    <x v="0"/>
    <n v="2"/>
    <n v="89.99"/>
    <s v="Credit Card"/>
    <x v="3"/>
    <x v="1"/>
    <x v="4"/>
    <n v="179.98"/>
  </r>
  <r>
    <s v="TRX0175"/>
    <x v="147"/>
    <s v="CUST030"/>
    <s v="Helen Roberts"/>
    <s v="P009"/>
    <x v="0"/>
    <x v="0"/>
    <n v="5"/>
    <n v="249.99"/>
    <s v="Cash"/>
    <x v="4"/>
    <x v="2"/>
    <x v="207"/>
    <n v="1249.95"/>
  </r>
  <r>
    <s v="TRX0186"/>
    <x v="148"/>
    <s v="CUST039"/>
    <s v="Lawrence Reed"/>
    <s v="P008"/>
    <x v="2"/>
    <x v="2"/>
    <n v="2"/>
    <n v="149.99"/>
    <s v="PayPal"/>
    <x v="0"/>
    <x v="1"/>
    <x v="208"/>
    <n v="299.98"/>
  </r>
  <r>
    <s v="TRX0016"/>
    <x v="148"/>
    <s v="CUST035"/>
    <s v="Harry Morgan"/>
    <s v="P001"/>
    <x v="4"/>
    <x v="0"/>
    <n v="5"/>
    <n v="899.99"/>
    <s v="PayPal"/>
    <x v="4"/>
    <x v="1"/>
    <x v="64"/>
    <n v="4499.95"/>
  </r>
  <r>
    <s v="TRX0199"/>
    <x v="148"/>
    <s v="CUST017"/>
    <s v="Charles Allen"/>
    <s v="P008"/>
    <x v="2"/>
    <x v="2"/>
    <n v="4"/>
    <n v="149.99"/>
    <s v="Cash"/>
    <x v="0"/>
    <x v="2"/>
    <x v="209"/>
    <n v="599.96"/>
  </r>
  <r>
    <s v="TRX0038"/>
    <x v="149"/>
    <s v="CUST035"/>
    <s v="Harry Morgan"/>
    <s v="P009"/>
    <x v="0"/>
    <x v="0"/>
    <n v="1"/>
    <n v="249.99"/>
    <s v="Cash"/>
    <x v="2"/>
    <x v="2"/>
    <x v="210"/>
    <n v="249.99"/>
  </r>
  <r>
    <s v="TRX0014"/>
    <x v="150"/>
    <s v="CUST033"/>
    <s v="Frank Torres"/>
    <s v="P005"/>
    <x v="1"/>
    <x v="1"/>
    <n v="2"/>
    <n v="59.99"/>
    <s v="Credit Card"/>
    <x v="3"/>
    <x v="0"/>
    <x v="211"/>
    <n v="119.98"/>
  </r>
  <r>
    <s v="TRX0003"/>
    <x v="151"/>
    <s v="CUST002"/>
    <s v="Emma Wilson"/>
    <s v="P008"/>
    <x v="2"/>
    <x v="2"/>
    <n v="2"/>
    <n v="149.99"/>
    <s v="Cash"/>
    <x v="3"/>
    <x v="1"/>
    <x v="212"/>
    <n v="299.98"/>
  </r>
  <r>
    <s v="TRX0124"/>
    <x v="151"/>
    <s v="CUST040"/>
    <s v="Sharon Butler"/>
    <s v="P001"/>
    <x v="4"/>
    <x v="0"/>
    <n v="3"/>
    <n v="899.99"/>
    <s v="Debit Card"/>
    <x v="2"/>
    <x v="1"/>
    <x v="213"/>
    <n v="2699.97"/>
  </r>
  <r>
    <s v="TRX0013"/>
    <x v="151"/>
    <s v="CUST024"/>
    <s v="Dorothy Nelson"/>
    <s v="P001"/>
    <x v="4"/>
    <x v="0"/>
    <n v="3"/>
    <n v="899.99"/>
    <s v="PayPal"/>
    <x v="2"/>
    <x v="0"/>
    <x v="214"/>
    <n v="2699.97"/>
  </r>
  <r>
    <s v="TRX0019"/>
    <x v="152"/>
    <s v="CUST023"/>
    <s v="Paul Baker"/>
    <s v="P007"/>
    <x v="6"/>
    <x v="2"/>
    <n v="3"/>
    <n v="299.99"/>
    <s v="Credit Card"/>
    <x v="3"/>
    <x v="1"/>
    <x v="215"/>
    <n v="899.97"/>
  </r>
  <r>
    <s v="TRX0050"/>
    <x v="153"/>
    <s v="CUST001"/>
    <s v="John Smith"/>
    <s v="P008"/>
    <x v="2"/>
    <x v="2"/>
    <n v="4"/>
    <n v="149.99"/>
    <s v="PayPal"/>
    <x v="3"/>
    <x v="2"/>
    <x v="144"/>
    <n v="599.96"/>
  </r>
  <r>
    <s v="TRX0152"/>
    <x v="154"/>
    <s v="CUST044"/>
    <s v="Cynthia Price"/>
    <s v="P004"/>
    <x v="7"/>
    <x v="1"/>
    <n v="4"/>
    <n v="79.989999999999995"/>
    <s v="Credit Card"/>
    <x v="0"/>
    <x v="0"/>
    <x v="216"/>
    <n v="319.95999999999998"/>
  </r>
  <r>
    <s v="TRX0213"/>
    <x v="155"/>
    <s v="CUST020"/>
    <s v="Margaret Wright"/>
    <s v="P010"/>
    <x v="8"/>
    <x v="0"/>
    <n v="5"/>
    <n v="89.99"/>
    <s v="PayPal"/>
    <x v="1"/>
    <x v="0"/>
    <x v="217"/>
    <n v="449.95"/>
  </r>
  <r>
    <s v="TRX0197"/>
    <x v="156"/>
    <s v="CUST048"/>
    <s v="Virginia Sanders"/>
    <s v="P008"/>
    <x v="2"/>
    <x v="2"/>
    <n v="3"/>
    <n v="149.99"/>
    <s v="PayPal"/>
    <x v="0"/>
    <x v="2"/>
    <x v="218"/>
    <n v="449.97"/>
  </r>
  <r>
    <s v="TRX0250"/>
    <x v="156"/>
    <s v="CUST026"/>
    <s v="Karen Hill"/>
    <s v="P010"/>
    <x v="8"/>
    <x v="0"/>
    <n v="2"/>
    <n v="89.99"/>
    <s v="Debit Card"/>
    <x v="3"/>
    <x v="1"/>
    <x v="164"/>
    <n v="179.98"/>
  </r>
  <r>
    <s v="TRX0068"/>
    <x v="157"/>
    <s v="CUST044"/>
    <s v="Cynthia Price"/>
    <s v="P002"/>
    <x v="5"/>
    <x v="0"/>
    <n v="2"/>
    <n v="699.99"/>
    <s v="PayPal"/>
    <x v="2"/>
    <x v="2"/>
    <x v="111"/>
    <n v="1399.98"/>
  </r>
  <r>
    <s v="TRX0144"/>
    <x v="158"/>
    <s v="CUST029"/>
    <s v="Edward Mitchell"/>
    <s v="P001"/>
    <x v="4"/>
    <x v="0"/>
    <n v="3"/>
    <n v="899.99"/>
    <s v="Cash"/>
    <x v="0"/>
    <x v="2"/>
    <x v="115"/>
    <n v="2699.97"/>
  </r>
  <r>
    <s v="TRX0039"/>
    <x v="159"/>
    <s v="CUST048"/>
    <s v="Virginia Sanders"/>
    <s v="P004"/>
    <x v="7"/>
    <x v="1"/>
    <n v="3"/>
    <n v="79.989999999999995"/>
    <s v="Credit Card"/>
    <x v="2"/>
    <x v="0"/>
    <x v="219"/>
    <n v="239.97"/>
  </r>
  <r>
    <s v="TRX0116"/>
    <x v="160"/>
    <s v="CUST009"/>
    <s v="Robert Thomas"/>
    <s v="P010"/>
    <x v="8"/>
    <x v="0"/>
    <n v="1"/>
    <n v="89.99"/>
    <s v="Debit Card"/>
    <x v="4"/>
    <x v="0"/>
    <x v="220"/>
    <n v="89.99"/>
  </r>
  <r>
    <s v="TRX0120"/>
    <x v="161"/>
    <s v="CUST045"/>
    <s v="Douglas Watson"/>
    <s v="P002"/>
    <x v="5"/>
    <x v="0"/>
    <n v="3"/>
    <n v="699.99"/>
    <s v="PayPal"/>
    <x v="2"/>
    <x v="0"/>
    <x v="67"/>
    <n v="2099.9699999999998"/>
  </r>
  <r>
    <s v="TRX0103"/>
    <x v="161"/>
    <s v="CUST039"/>
    <s v="Lawrence Reed"/>
    <s v="P010"/>
    <x v="8"/>
    <x v="0"/>
    <n v="2"/>
    <n v="89.99"/>
    <s v="Debit Card"/>
    <x v="4"/>
    <x v="0"/>
    <x v="221"/>
    <n v="179.98"/>
  </r>
  <r>
    <s v="TRX0064"/>
    <x v="161"/>
    <s v="CUST031"/>
    <s v="Steven Turner"/>
    <s v="P010"/>
    <x v="8"/>
    <x v="0"/>
    <n v="3"/>
    <n v="89.99"/>
    <s v="Debit Card"/>
    <x v="2"/>
    <x v="1"/>
    <x v="222"/>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4D7E30-D705-4FC6-97A0-B4C97219C3D2}" name="Rigion vs total amount"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5">
  <location ref="A10:B16" firstHeaderRow="1" firstDataRow="1" firstDataCol="1"/>
  <pivotFields count="17">
    <pivotField compact="0" showAll="0"/>
    <pivotField compact="0"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compact="0" showAll="0"/>
    <pivotField compact="0" showAll="0">
      <items count="4">
        <item x="1"/>
        <item x="0"/>
        <item x="2"/>
        <item t="default"/>
      </items>
    </pivotField>
    <pivotField compact="0" numFmtId="1" showAll="0"/>
    <pivotField compact="0" numFmtId="2" showAll="0"/>
    <pivotField compact="0" showAll="0"/>
    <pivotField axis="axisRow" compact="0" showAll="0" sortType="descending">
      <items count="6">
        <item x="3"/>
        <item x="1"/>
        <item x="2"/>
        <item x="4"/>
        <item x="0"/>
        <item t="default"/>
      </items>
      <autoSortScope>
        <pivotArea dataOnly="0" outline="0" fieldPosition="0">
          <references count="1">
            <reference field="4294967294" count="1" selected="0">
              <x v="0"/>
            </reference>
          </references>
        </pivotArea>
      </autoSortScope>
    </pivotField>
    <pivotField compact="0" showAll="0"/>
    <pivotField compact="0" numFmtId="14" showAll="0"/>
    <pivotField dataField="1"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5">
        <item x="0"/>
        <item x="1"/>
        <item x="2"/>
        <item x="3"/>
        <item t="default"/>
      </items>
    </pivotField>
  </pivotFields>
  <rowFields count="1">
    <field x="10"/>
  </rowFields>
  <rowItems count="6">
    <i>
      <x v="3"/>
    </i>
    <i>
      <x v="2"/>
    </i>
    <i>
      <x/>
    </i>
    <i>
      <x v="4"/>
    </i>
    <i>
      <x v="1"/>
    </i>
    <i t="grand">
      <x/>
    </i>
  </rowItems>
  <colItems count="1">
    <i/>
  </colItems>
  <dataFields count="1">
    <dataField name="Sum of Total_Amount" fld="13"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63FC72-BE0C-4B8D-AFD0-08C92C798D0A}" name="Categorys vs total"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10">
  <location ref="A3:B7" firstHeaderRow="1" firstDataRow="1" firstDataCol="1"/>
  <pivotFields count="17">
    <pivotField compact="0" showAll="0"/>
    <pivotField compact="0"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compact="0" showAll="0"/>
    <pivotField axis="axisRow" compact="0" showAll="0">
      <items count="4">
        <item x="1"/>
        <item x="0"/>
        <item x="2"/>
        <item t="default"/>
      </items>
    </pivotField>
    <pivotField compact="0" numFmtId="1" showAll="0"/>
    <pivotField compact="0" numFmtId="2" showAll="0"/>
    <pivotField compact="0" showAll="0"/>
    <pivotField compact="0" showAll="0">
      <items count="6">
        <item x="0"/>
        <item x="4"/>
        <item x="2"/>
        <item x="1"/>
        <item x="3"/>
        <item t="default"/>
      </items>
    </pivotField>
    <pivotField compact="0" showAll="0">
      <items count="4">
        <item x="0"/>
        <item x="1"/>
        <item x="2"/>
        <item t="default"/>
      </items>
    </pivotField>
    <pivotField compact="0" numFmtId="1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5">
        <item x="0"/>
        <item x="1"/>
        <item x="2"/>
        <item x="3"/>
        <item t="default"/>
      </items>
    </pivotField>
  </pivotFields>
  <rowFields count="1">
    <field x="6"/>
  </rowFields>
  <rowItems count="4">
    <i>
      <x/>
    </i>
    <i>
      <x v="1"/>
    </i>
    <i>
      <x v="2"/>
    </i>
    <i t="grand">
      <x/>
    </i>
  </rowItems>
  <colItems count="1">
    <i/>
  </colItems>
  <dataFields count="1">
    <dataField name="Sum of Total_Amount" fld="13" baseField="0" baseItem="0"/>
  </dataFields>
  <chartFormats count="8">
    <chartFormat chart="1"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FD2254-345F-4E63-82C6-241F932C6181}" name="month vs t_a"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7">
  <location ref="A19:C32" firstHeaderRow="1" firstDataRow="1" firstDataCol="2"/>
  <pivotFields count="17">
    <pivotField compact="0" showAll="0"/>
    <pivotField compact="0"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compact="0" showAll="0"/>
    <pivotField compact="0" showAll="0">
      <items count="4">
        <item x="1"/>
        <item x="0"/>
        <item x="2"/>
        <item t="default"/>
      </items>
    </pivotField>
    <pivotField compact="0" numFmtId="1" showAll="0"/>
    <pivotField compact="0" numFmtId="2" showAll="0"/>
    <pivotField compact="0" showAll="0"/>
    <pivotField compact="0" showAll="0">
      <items count="6">
        <item x="0"/>
        <item x="4"/>
        <item x="2"/>
        <item x="1"/>
        <item x="3"/>
        <item t="default"/>
      </items>
    </pivotField>
    <pivotField compact="0" showAll="0"/>
    <pivotField compact="0" numFmtId="14" showAll="0"/>
    <pivotField dataField="1" compact="0" showAll="0"/>
    <pivotField axis="axisRow"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axis="axisRow" compact="0" showAll="0">
      <items count="5">
        <item sd="0" x="0"/>
        <item x="1"/>
        <item sd="0" x="2"/>
        <item sd="0" x="3"/>
        <item t="default"/>
      </items>
    </pivotField>
  </pivotFields>
  <rowFields count="2">
    <field x="14"/>
    <field x="16"/>
  </rowFields>
  <rowItems count="13">
    <i>
      <x v="1"/>
    </i>
    <i>
      <x v="2"/>
    </i>
    <i>
      <x v="3"/>
    </i>
    <i>
      <x v="4"/>
    </i>
    <i>
      <x v="5"/>
    </i>
    <i>
      <x v="6"/>
    </i>
    <i>
      <x v="7"/>
    </i>
    <i>
      <x v="8"/>
    </i>
    <i>
      <x v="9"/>
    </i>
    <i>
      <x v="10"/>
    </i>
    <i>
      <x v="11"/>
    </i>
    <i>
      <x v="12"/>
    </i>
    <i t="grand">
      <x/>
    </i>
  </rowItems>
  <colItems count="1">
    <i/>
  </colItems>
  <dataFields count="1">
    <dataField name="Sum of Total_Amount" fld="13"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4F6883-205C-41EE-8253-EB2405122594}" name="customr vs t_a"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8">
  <location ref="A49:B53" firstHeaderRow="1" firstDataRow="1" firstDataCol="1"/>
  <pivotFields count="17">
    <pivotField compact="0" showAll="0"/>
    <pivotField compact="0"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compact="0" showAll="0"/>
    <pivotField compact="0" showAll="0">
      <items count="4">
        <item x="1"/>
        <item x="0"/>
        <item x="2"/>
        <item t="default"/>
      </items>
    </pivotField>
    <pivotField compact="0" numFmtId="1" showAll="0"/>
    <pivotField compact="0" numFmtId="2" showAll="0"/>
    <pivotField compact="0" showAll="0"/>
    <pivotField compact="0" showAll="0">
      <items count="6">
        <item x="0"/>
        <item x="4"/>
        <item x="2"/>
        <item x="1"/>
        <item x="3"/>
        <item t="default"/>
      </items>
    </pivotField>
    <pivotField axis="axisRow" compact="0" showAll="0">
      <items count="4">
        <item x="0"/>
        <item x="1"/>
        <item x="2"/>
        <item t="default"/>
      </items>
    </pivotField>
    <pivotField compact="0" numFmtId="14" showAll="0"/>
    <pivotField dataField="1" compact="0" showAll="0"/>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5">
        <item sd="0" x="0"/>
        <item x="1"/>
        <item sd="0" x="2"/>
        <item sd="0" x="3"/>
        <item t="default"/>
      </items>
    </pivotField>
  </pivotFields>
  <rowFields count="1">
    <field x="11"/>
  </rowFields>
  <rowItems count="4">
    <i>
      <x/>
    </i>
    <i>
      <x v="1"/>
    </i>
    <i>
      <x v="2"/>
    </i>
    <i t="grand">
      <x/>
    </i>
  </rowItems>
  <colItems count="1">
    <i/>
  </colItems>
  <dataFields count="1">
    <dataField name="Sum of Total_Amount" fld="13" baseField="0" baseItem="0"/>
  </dataFields>
  <chartFormats count="8">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54A8D6-D7FA-488F-ACEB-3EC7B3596080}" name="Product vs t_a"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3">
  <location ref="A35:B46" firstHeaderRow="1" firstDataRow="1" firstDataCol="1"/>
  <pivotFields count="17">
    <pivotField compact="0" showAll="0"/>
    <pivotField compact="0"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axis="axisRow" compact="0" showAll="0" sortType="de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compact="0" showAll="0">
      <items count="4">
        <item x="1"/>
        <item x="0"/>
        <item x="2"/>
        <item t="default"/>
      </items>
    </pivotField>
    <pivotField compact="0" numFmtId="1" showAll="0"/>
    <pivotField compact="0" numFmtId="2" showAll="0"/>
    <pivotField compact="0" showAll="0"/>
    <pivotField compact="0" showAll="0">
      <items count="6">
        <item x="0"/>
        <item x="4"/>
        <item x="2"/>
        <item x="1"/>
        <item x="3"/>
        <item t="default"/>
      </items>
    </pivotField>
    <pivotField compact="0" showAll="0"/>
    <pivotField compact="0" numFmtId="14" showAll="0"/>
    <pivotField dataField="1" compact="0" showAll="0"/>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5">
        <item sd="0" x="0"/>
        <item x="1"/>
        <item sd="0" x="2"/>
        <item sd="0" x="3"/>
        <item t="default"/>
      </items>
    </pivotField>
  </pivotFields>
  <rowFields count="1">
    <field x="5"/>
  </rowFields>
  <rowItems count="11">
    <i>
      <x v="6"/>
    </i>
    <i>
      <x v="9"/>
    </i>
    <i>
      <x v="3"/>
    </i>
    <i>
      <x v="7"/>
    </i>
    <i>
      <x v="1"/>
    </i>
    <i>
      <x v="8"/>
    </i>
    <i>
      <x v="5"/>
    </i>
    <i>
      <x v="4"/>
    </i>
    <i>
      <x/>
    </i>
    <i>
      <x v="2"/>
    </i>
    <i t="grand">
      <x/>
    </i>
  </rowItems>
  <colItems count="1">
    <i/>
  </colItems>
  <dataFields count="1">
    <dataField name="Sum of Total_Amount" fld="13" baseField="0" baseItem="0"/>
  </dataFields>
  <chartFormats count="2">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F5AF794-3EF3-4640-A486-0708B94FDDCC}" sourceName="Category">
  <pivotTables>
    <pivotTable tabId="21" name="customr vs t_a"/>
    <pivotTable tabId="21" name="month vs t_a"/>
    <pivotTable tabId="21" name="Product vs t_a"/>
    <pivotTable tabId="21" name="Rigion vs total amount"/>
  </pivotTables>
  <data>
    <tabular pivotCacheId="138701697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46750C-92B8-48CD-882B-47D48D8A3759}" sourceName="Region">
  <pivotTables>
    <pivotTable tabId="21" name="Categorys vs total"/>
    <pivotTable tabId="21" name="customr vs t_a"/>
    <pivotTable tabId="21" name="month vs t_a"/>
    <pivotTable tabId="21" name="Product vs t_a"/>
    <pivotTable tabId="21" name="Rigion vs total amount"/>
  </pivotTables>
  <data>
    <tabular pivotCacheId="1387016976">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A0AB93C-7B86-4119-83CE-4B5627E82EF1}" cache="Slicer_Category" caption="Category" rowHeight="234950"/>
  <slicer name="Region" xr10:uid="{66104972-8771-4571-9EBC-CB31FB196BAF}"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34269A9-0287-48D5-B87F-A8819E916017}" cache="Slicer_Category" caption="Category" style="My Slicer" rowHeight="576000"/>
  <slicer name="Region 1" xr10:uid="{B7B7647D-34CC-4A39-BA4A-B55C2FE924FE}" cache="Slicer_Region" caption="Region" style="My Slicer"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3C5DBC-3CAC-4D5D-8C9B-8E32D9CD267E}" name="Dataset" displayName="Dataset" ref="A1:N251" headerRowDxfId="60" dataDxfId="58" headerRowBorderDxfId="59" tableBorderDxfId="57" totalsRowBorderDxfId="56">
  <autoFilter ref="A1:N251" xr:uid="{583C5DBC-3CAC-4D5D-8C9B-8E32D9CD267E}"/>
  <tableColumns count="14">
    <tableColumn id="1" xr3:uid="{F3016563-71E1-440F-A743-BFD56856E0F0}" name="Transaction_ID" totalsRowLabel="Total" dataDxfId="55" totalsRowDxfId="9"/>
    <tableColumn id="2" xr3:uid="{BE107AC9-7CB1-469F-9B0B-68E570602027}" name="Date" dataDxfId="54" totalsRowDxfId="10"/>
    <tableColumn id="3" xr3:uid="{43887878-6970-40EC-BCAC-87379C2F5403}" name="Customer_ID" dataDxfId="53" totalsRowDxfId="11"/>
    <tableColumn id="4" xr3:uid="{986BB92C-6BFA-4294-BEB3-685045EF9BA3}" name="Customer_Name" dataDxfId="52" totalsRowDxfId="12"/>
    <tableColumn id="5" xr3:uid="{4DD9210E-66F1-4699-A7CF-561C9E422141}" name="Product_ID" dataDxfId="51" totalsRowDxfId="13"/>
    <tableColumn id="6" xr3:uid="{03E3B342-206B-4BCE-9F4D-393503F05B55}" name="Product_Name" dataDxfId="50" totalsRowDxfId="14"/>
    <tableColumn id="7" xr3:uid="{8BCFB199-A25D-4518-A2F8-71D64EFCBCBB}" name="Category" dataDxfId="49" totalsRowDxfId="15"/>
    <tableColumn id="8" xr3:uid="{CB38F4CA-412B-4900-B24F-F631597B3AA2}" name="Quantity" dataDxfId="48" totalsRowDxfId="16"/>
    <tableColumn id="9" xr3:uid="{F4C8833D-28BA-4E1F-BEDB-502B5433F666}" name="Unit_Price" dataDxfId="47" totalsRowDxfId="17"/>
    <tableColumn id="10" xr3:uid="{2682A476-2E47-477B-A286-BDEEE63916DD}" name="Payment_Method" dataDxfId="46" totalsRowDxfId="18"/>
    <tableColumn id="11" xr3:uid="{C0F00406-B194-431D-BF7C-70B4E7459C30}" name="Region" dataDxfId="45" totalsRowDxfId="19"/>
    <tableColumn id="12" xr3:uid="{A0F76EBB-067D-45A2-B201-9714CDE29927}" name="Customer_Segment" dataDxfId="44" totalsRowDxfId="20"/>
    <tableColumn id="13" xr3:uid="{7B373353-D93D-4A7C-8E2F-A32B88085756}" name="Customer_Since" dataDxfId="43" totalsRowDxfId="21"/>
    <tableColumn id="14" xr3:uid="{62E8443F-C620-475A-A024-FC8EC864A470}" name="Total_Amount" totalsRowFunction="sum" dataDxfId="42" totalsRow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AAEDE6-D962-493F-A950-984B967DEF20}" name="Dataset4" displayName="Dataset4" ref="A1:N251" totalsRowShown="0" headerRowDxfId="41" dataDxfId="39" headerRowBorderDxfId="40" tableBorderDxfId="38" totalsRowBorderDxfId="37">
  <tableColumns count="14">
    <tableColumn id="1" xr3:uid="{C39BC62C-3E38-44ED-9346-B5990F0200FD}" name="Transaction_ID" dataDxfId="36"/>
    <tableColumn id="2" xr3:uid="{BD7FC24A-D495-477F-AC5E-FE6BA4A50A2A}" name="Date" dataDxfId="35"/>
    <tableColumn id="3" xr3:uid="{31FC5E38-7E27-4C70-8F3E-ED5E62B23663}" name="Customer_ID" dataDxfId="34"/>
    <tableColumn id="4" xr3:uid="{0E7C0DD2-582D-4ED0-85A1-337C7BD37F11}" name="Customer_Name" dataDxfId="33"/>
    <tableColumn id="5" xr3:uid="{F6644B64-8A7F-423D-B991-37D730FC4283}" name="Product_ID" dataDxfId="32"/>
    <tableColumn id="6" xr3:uid="{7C31A270-1FE6-4F85-9537-FE5308BD3B7B}" name="Product_Name" dataDxfId="31"/>
    <tableColumn id="7" xr3:uid="{122804AB-8A8F-41AD-BC8C-8DE5F590B649}" name="Category" dataDxfId="30"/>
    <tableColumn id="8" xr3:uid="{3A79EFE3-9222-42B0-A473-9898CDC4AA72}" name="Quantity" dataDxfId="29"/>
    <tableColumn id="9" xr3:uid="{53CD9B13-9427-4F99-91B8-EFE58B0EB61B}" name="Unit_Price" dataDxfId="28"/>
    <tableColumn id="10" xr3:uid="{EE2F3194-5EBA-4E3E-90E8-A09C4256C82F}" name="Payment_Method" dataDxfId="27"/>
    <tableColumn id="11" xr3:uid="{5D0BB136-64C0-4223-83C8-07CB71F55426}" name="Region" dataDxfId="26"/>
    <tableColumn id="12" xr3:uid="{0C02B934-9D4B-469E-9246-56BC221A03CA}" name="Customer_Segment" dataDxfId="25"/>
    <tableColumn id="13" xr3:uid="{85D15A4A-9197-4FD4-B144-3587F86D81A9}" name="Customer_Since" dataDxfId="24"/>
    <tableColumn id="14" xr3:uid="{204B2851-90B5-4860-9D3F-630DE96BEEBE}" name="Total_Amount" dataDxfId="23"/>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64E963E-C6B8-448E-A9BB-304B08845617}" sourceName="Date">
  <pivotTables>
    <pivotTable tabId="21" name="Categorys vs total"/>
  </pivotTables>
  <state minimalRefreshVersion="6" lastRefreshVersion="6" pivotCacheId="1387016976"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E0E2269-9293-47E7-8584-F3B5E31DB571}" cache="NativeTimeline_Date" caption="Date" level="1" selectionLevel="1"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30DE2B5-0499-42C0-95F6-0061FBC95924}" cache="NativeTimeline_Date" caption="Date" level="1" selectionLevel="1"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6.bin"/><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1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5.xml"/><Relationship Id="rId1" Type="http://schemas.openxmlformats.org/officeDocument/2006/relationships/printerSettings" Target="../printerSettings/printerSettings17.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view="pageBreakPreview" zoomScale="60" zoomScaleNormal="100" workbookViewId="0">
      <selection activeCell="A14" sqref="A14"/>
    </sheetView>
  </sheetViews>
  <sheetFormatPr defaultColWidth="14.44140625" defaultRowHeight="15" customHeight="1"/>
  <cols>
    <col min="1" max="1" width="94.88671875" customWidth="1"/>
    <col min="2" max="25" width="8.6640625" customWidth="1"/>
  </cols>
  <sheetData>
    <row r="1" spans="1:1" thickBot="1">
      <c r="A1" s="2" t="s">
        <v>0</v>
      </c>
    </row>
    <row r="2" spans="1:1" ht="14.4">
      <c r="A2" s="3" t="s">
        <v>400</v>
      </c>
    </row>
    <row r="3" spans="1:1" ht="14.4"/>
    <row r="4" spans="1:1" ht="14.4">
      <c r="A4" s="3" t="s">
        <v>401</v>
      </c>
    </row>
    <row r="5" spans="1:1" ht="14.4">
      <c r="A5" s="4" t="s">
        <v>402</v>
      </c>
    </row>
    <row r="6" spans="1:1" ht="14.4">
      <c r="A6" s="4" t="s">
        <v>403</v>
      </c>
    </row>
    <row r="7" spans="1:1" ht="14.4"/>
    <row r="8" spans="1:1" ht="14.4">
      <c r="A8" s="5" t="s">
        <v>404</v>
      </c>
    </row>
    <row r="9" spans="1:1" ht="14.4">
      <c r="A9" s="6" t="s">
        <v>405</v>
      </c>
    </row>
    <row r="10" spans="1:1" ht="14.4">
      <c r="A10" s="6" t="s">
        <v>406</v>
      </c>
    </row>
    <row r="11" spans="1:1" ht="14.4">
      <c r="A11" s="6" t="s">
        <v>407</v>
      </c>
    </row>
    <row r="12" spans="1:1" ht="14.4">
      <c r="A12" s="6" t="s">
        <v>408</v>
      </c>
    </row>
    <row r="13" spans="1:1" ht="14.4">
      <c r="A13" s="6" t="s">
        <v>672</v>
      </c>
    </row>
    <row r="14" spans="1:1" ht="14.4">
      <c r="A14" s="6" t="s">
        <v>409</v>
      </c>
    </row>
    <row r="15" spans="1:1" ht="14.4">
      <c r="A15" s="6" t="s">
        <v>526</v>
      </c>
    </row>
    <row r="16" spans="1:1" ht="14.4">
      <c r="A16" s="6" t="s">
        <v>410</v>
      </c>
    </row>
    <row r="17" spans="1:1" ht="14.4">
      <c r="A17" s="6" t="s">
        <v>560</v>
      </c>
    </row>
    <row r="18" spans="1:1" ht="14.4">
      <c r="A18" s="6" t="s">
        <v>411</v>
      </c>
    </row>
    <row r="19" spans="1:1" ht="14.4">
      <c r="A19" s="6" t="s">
        <v>412</v>
      </c>
    </row>
    <row r="20" spans="1:1" ht="14.4">
      <c r="A20" s="6" t="s">
        <v>413</v>
      </c>
    </row>
    <row r="21" spans="1:1" ht="15.75" customHeight="1">
      <c r="A21" s="6" t="s">
        <v>414</v>
      </c>
    </row>
    <row r="22" spans="1:1" ht="15.75" customHeight="1">
      <c r="A22" s="6" t="s">
        <v>561</v>
      </c>
    </row>
    <row r="23" spans="1:1" ht="15.75" customHeight="1">
      <c r="A23" s="6" t="s">
        <v>576</v>
      </c>
    </row>
    <row r="24" spans="1:1" ht="15.75" customHeight="1">
      <c r="A24" s="6" t="s">
        <v>415</v>
      </c>
    </row>
    <row r="25" spans="1:1" ht="15.75" customHeight="1">
      <c r="A25" s="6" t="s">
        <v>416</v>
      </c>
    </row>
    <row r="26" spans="1:1" ht="15.75" customHeight="1"/>
    <row r="27" spans="1:1" ht="15.75" customHeight="1">
      <c r="A27" s="3" t="s">
        <v>417</v>
      </c>
    </row>
    <row r="28" spans="1:1" ht="15.75" customHeight="1">
      <c r="A28" s="4" t="s">
        <v>418</v>
      </c>
    </row>
    <row r="29" spans="1:1" ht="15.75" customHeight="1">
      <c r="A29" s="4" t="s">
        <v>419</v>
      </c>
    </row>
    <row r="30" spans="1:1" ht="15.75" customHeight="1">
      <c r="A30" s="4" t="s">
        <v>420</v>
      </c>
    </row>
    <row r="31" spans="1:1" ht="15.75" customHeight="1"/>
    <row r="32" spans="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view="pageBreakPreview" zoomScale="60" zoomScaleNormal="69" workbookViewId="0">
      <selection activeCell="A2" sqref="A2"/>
    </sheetView>
  </sheetViews>
  <sheetFormatPr defaultColWidth="14.44140625" defaultRowHeight="15" customHeight="1"/>
  <cols>
    <col min="1" max="1" width="21.77734375" customWidth="1"/>
    <col min="2" max="2" width="14.88671875" style="7" customWidth="1"/>
    <col min="3" max="3" width="21.88671875" customWidth="1"/>
    <col min="4" max="4" width="25.88671875" customWidth="1"/>
    <col min="5" max="5" width="18.77734375" customWidth="1"/>
    <col min="6" max="6" width="23.88671875" customWidth="1"/>
    <col min="7" max="7" width="19.5546875" customWidth="1"/>
    <col min="8" max="8" width="16.5546875" style="9" customWidth="1"/>
    <col min="9" max="9" width="18.5546875" style="8" customWidth="1"/>
    <col min="10" max="10" width="28.21875" customWidth="1"/>
    <col min="11" max="11" width="15.33203125" customWidth="1"/>
    <col min="12" max="12" width="26.21875" customWidth="1"/>
    <col min="13" max="13" width="24.33203125" style="7" customWidth="1"/>
    <col min="14" max="14" width="21" customWidth="1"/>
    <col min="15" max="26" width="8.6640625" customWidth="1"/>
  </cols>
  <sheetData>
    <row r="1" spans="1:26" ht="15.6">
      <c r="A1" s="45" t="s">
        <v>1</v>
      </c>
      <c r="B1" s="46" t="s">
        <v>2</v>
      </c>
      <c r="C1" s="47" t="s">
        <v>3</v>
      </c>
      <c r="D1" s="47" t="s">
        <v>4</v>
      </c>
      <c r="E1" s="47" t="s">
        <v>5</v>
      </c>
      <c r="F1" s="47" t="s">
        <v>6</v>
      </c>
      <c r="G1" s="47" t="s">
        <v>7</v>
      </c>
      <c r="H1" s="48" t="s">
        <v>8</v>
      </c>
      <c r="I1" s="49" t="s">
        <v>9</v>
      </c>
      <c r="J1" s="47" t="s">
        <v>10</v>
      </c>
      <c r="K1" s="47" t="s">
        <v>11</v>
      </c>
      <c r="L1" s="47" t="s">
        <v>12</v>
      </c>
      <c r="M1" s="46" t="s">
        <v>13</v>
      </c>
      <c r="N1" s="50" t="s">
        <v>14</v>
      </c>
      <c r="O1" s="1"/>
      <c r="P1" s="1"/>
      <c r="Q1" s="1"/>
      <c r="R1" s="1"/>
      <c r="S1" s="1"/>
      <c r="T1" s="1"/>
      <c r="U1" s="1"/>
      <c r="V1" s="1"/>
      <c r="W1" s="1"/>
      <c r="X1" s="1"/>
      <c r="Y1" s="1"/>
      <c r="Z1" s="1"/>
    </row>
    <row r="2" spans="1:26" ht="14.4">
      <c r="A2" s="43" t="s">
        <v>15</v>
      </c>
      <c r="B2" s="11">
        <v>45393</v>
      </c>
      <c r="C2" s="10" t="s">
        <v>16</v>
      </c>
      <c r="D2" s="10" t="s">
        <v>17</v>
      </c>
      <c r="E2" s="10" t="s">
        <v>18</v>
      </c>
      <c r="F2" s="10" t="s">
        <v>19</v>
      </c>
      <c r="G2" s="10" t="s">
        <v>20</v>
      </c>
      <c r="H2" s="12">
        <v>3</v>
      </c>
      <c r="I2" s="13">
        <v>249.99</v>
      </c>
      <c r="J2" s="10" t="s">
        <v>21</v>
      </c>
      <c r="K2" s="10" t="s">
        <v>22</v>
      </c>
      <c r="L2" s="10" t="s">
        <v>23</v>
      </c>
      <c r="M2" s="11">
        <v>44425</v>
      </c>
      <c r="N2" s="44">
        <v>749.97</v>
      </c>
    </row>
    <row r="3" spans="1:26" ht="14.4">
      <c r="A3" s="43" t="s">
        <v>24</v>
      </c>
      <c r="B3" s="11">
        <v>45396</v>
      </c>
      <c r="C3" s="10" t="s">
        <v>25</v>
      </c>
      <c r="D3" s="10" t="s">
        <v>26</v>
      </c>
      <c r="E3" s="10" t="s">
        <v>18</v>
      </c>
      <c r="F3" s="10" t="s">
        <v>19</v>
      </c>
      <c r="G3" s="10" t="s">
        <v>20</v>
      </c>
      <c r="H3" s="12">
        <v>3</v>
      </c>
      <c r="I3" s="13">
        <v>249.99</v>
      </c>
      <c r="J3" s="10" t="s">
        <v>27</v>
      </c>
      <c r="K3" s="10" t="s">
        <v>22</v>
      </c>
      <c r="L3" s="10" t="s">
        <v>28</v>
      </c>
      <c r="M3" s="11">
        <v>44575</v>
      </c>
      <c r="N3" s="44">
        <v>749.97</v>
      </c>
    </row>
    <row r="4" spans="1:26" ht="14.4">
      <c r="A4" s="43" t="s">
        <v>29</v>
      </c>
      <c r="B4" s="11">
        <v>45399</v>
      </c>
      <c r="C4" s="10" t="s">
        <v>30</v>
      </c>
      <c r="D4" s="10" t="s">
        <v>31</v>
      </c>
      <c r="E4" s="10" t="s">
        <v>32</v>
      </c>
      <c r="F4" s="10" t="s">
        <v>33</v>
      </c>
      <c r="G4" s="10" t="s">
        <v>34</v>
      </c>
      <c r="H4" s="12">
        <v>3</v>
      </c>
      <c r="I4" s="13">
        <v>59.99</v>
      </c>
      <c r="J4" s="10" t="s">
        <v>35</v>
      </c>
      <c r="K4" s="10" t="s">
        <v>36</v>
      </c>
      <c r="L4" s="10" t="s">
        <v>37</v>
      </c>
      <c r="M4" s="11">
        <v>45262</v>
      </c>
      <c r="N4" s="44">
        <v>179.97</v>
      </c>
    </row>
    <row r="5" spans="1:26" ht="14.4">
      <c r="A5" s="43" t="s">
        <v>38</v>
      </c>
      <c r="B5" s="11">
        <v>45400</v>
      </c>
      <c r="C5" s="10" t="s">
        <v>39</v>
      </c>
      <c r="D5" s="10" t="s">
        <v>40</v>
      </c>
      <c r="E5" s="10" t="s">
        <v>32</v>
      </c>
      <c r="F5" s="10" t="s">
        <v>33</v>
      </c>
      <c r="G5" s="10" t="s">
        <v>34</v>
      </c>
      <c r="H5" s="12">
        <v>3</v>
      </c>
      <c r="I5" s="13">
        <v>59.99</v>
      </c>
      <c r="J5" s="10" t="s">
        <v>21</v>
      </c>
      <c r="K5" s="10" t="s">
        <v>41</v>
      </c>
      <c r="L5" s="10" t="s">
        <v>28</v>
      </c>
      <c r="M5" s="11">
        <v>45114</v>
      </c>
      <c r="N5" s="44">
        <v>179.97</v>
      </c>
    </row>
    <row r="6" spans="1:26" ht="14.4">
      <c r="A6" s="43" t="s">
        <v>42</v>
      </c>
      <c r="B6" s="11">
        <v>45400</v>
      </c>
      <c r="C6" s="10" t="s">
        <v>43</v>
      </c>
      <c r="D6" s="10" t="s">
        <v>44</v>
      </c>
      <c r="E6" s="10" t="s">
        <v>45</v>
      </c>
      <c r="F6" s="10" t="s">
        <v>46</v>
      </c>
      <c r="G6" s="10" t="s">
        <v>47</v>
      </c>
      <c r="H6" s="12">
        <v>5</v>
      </c>
      <c r="I6" s="13">
        <v>149.99</v>
      </c>
      <c r="J6" s="10" t="s">
        <v>27</v>
      </c>
      <c r="K6" s="10" t="s">
        <v>41</v>
      </c>
      <c r="L6" s="10" t="s">
        <v>28</v>
      </c>
      <c r="M6" s="11">
        <v>45295</v>
      </c>
      <c r="N6" s="44">
        <v>749.95</v>
      </c>
    </row>
    <row r="7" spans="1:26" ht="14.4">
      <c r="A7" s="43" t="s">
        <v>48</v>
      </c>
      <c r="B7" s="11">
        <v>45403</v>
      </c>
      <c r="C7" s="10" t="s">
        <v>49</v>
      </c>
      <c r="D7" s="10" t="s">
        <v>50</v>
      </c>
      <c r="E7" s="10" t="s">
        <v>32</v>
      </c>
      <c r="F7" s="10" t="s">
        <v>33</v>
      </c>
      <c r="G7" s="10" t="s">
        <v>34</v>
      </c>
      <c r="H7" s="12">
        <v>2</v>
      </c>
      <c r="I7" s="13">
        <v>59.99</v>
      </c>
      <c r="J7" s="10" t="s">
        <v>21</v>
      </c>
      <c r="K7" s="10" t="s">
        <v>51</v>
      </c>
      <c r="L7" s="10" t="s">
        <v>37</v>
      </c>
      <c r="M7" s="11">
        <v>44746</v>
      </c>
      <c r="N7" s="44">
        <v>119.98</v>
      </c>
    </row>
    <row r="8" spans="1:26" ht="14.4">
      <c r="A8" s="43" t="s">
        <v>52</v>
      </c>
      <c r="B8" s="11">
        <v>45403</v>
      </c>
      <c r="C8" s="10" t="s">
        <v>49</v>
      </c>
      <c r="D8" s="10" t="s">
        <v>50</v>
      </c>
      <c r="E8" s="10" t="s">
        <v>53</v>
      </c>
      <c r="F8" s="10" t="s">
        <v>54</v>
      </c>
      <c r="G8" s="10" t="s">
        <v>20</v>
      </c>
      <c r="H8" s="12">
        <v>5</v>
      </c>
      <c r="I8" s="13">
        <v>149.99</v>
      </c>
      <c r="J8" s="10" t="s">
        <v>27</v>
      </c>
      <c r="K8" s="10" t="s">
        <v>22</v>
      </c>
      <c r="L8" s="10" t="s">
        <v>37</v>
      </c>
      <c r="M8" s="11">
        <v>44418</v>
      </c>
      <c r="N8" s="44">
        <v>749.95</v>
      </c>
    </row>
    <row r="9" spans="1:26" ht="14.4">
      <c r="A9" s="43" t="s">
        <v>55</v>
      </c>
      <c r="B9" s="11">
        <v>45403</v>
      </c>
      <c r="C9" s="10" t="s">
        <v>56</v>
      </c>
      <c r="D9" s="10" t="s">
        <v>57</v>
      </c>
      <c r="E9" s="10" t="s">
        <v>32</v>
      </c>
      <c r="F9" s="10" t="s">
        <v>33</v>
      </c>
      <c r="G9" s="10" t="s">
        <v>34</v>
      </c>
      <c r="H9" s="12">
        <v>3</v>
      </c>
      <c r="I9" s="13">
        <v>59.99</v>
      </c>
      <c r="J9" s="10" t="s">
        <v>58</v>
      </c>
      <c r="K9" s="10" t="s">
        <v>36</v>
      </c>
      <c r="L9" s="10" t="s">
        <v>23</v>
      </c>
      <c r="M9" s="11">
        <v>45007</v>
      </c>
      <c r="N9" s="44">
        <v>179.97</v>
      </c>
    </row>
    <row r="10" spans="1:26" ht="14.4">
      <c r="A10" s="43" t="s">
        <v>59</v>
      </c>
      <c r="B10" s="11">
        <v>45405</v>
      </c>
      <c r="C10" s="10" t="s">
        <v>60</v>
      </c>
      <c r="D10" s="10" t="s">
        <v>61</v>
      </c>
      <c r="E10" s="10" t="s">
        <v>62</v>
      </c>
      <c r="F10" s="10" t="s">
        <v>63</v>
      </c>
      <c r="G10" s="10" t="s">
        <v>20</v>
      </c>
      <c r="H10" s="12">
        <v>3</v>
      </c>
      <c r="I10" s="13">
        <v>899.99</v>
      </c>
      <c r="J10" s="10" t="s">
        <v>35</v>
      </c>
      <c r="K10" s="10" t="s">
        <v>64</v>
      </c>
      <c r="L10" s="10" t="s">
        <v>37</v>
      </c>
      <c r="M10" s="11">
        <v>45299</v>
      </c>
      <c r="N10" s="44">
        <v>2699.97</v>
      </c>
    </row>
    <row r="11" spans="1:26" ht="14.4">
      <c r="A11" s="43" t="s">
        <v>65</v>
      </c>
      <c r="B11" s="11">
        <v>45408</v>
      </c>
      <c r="C11" s="10" t="s">
        <v>66</v>
      </c>
      <c r="D11" s="10" t="s">
        <v>67</v>
      </c>
      <c r="E11" s="10" t="s">
        <v>32</v>
      </c>
      <c r="F11" s="10" t="s">
        <v>33</v>
      </c>
      <c r="G11" s="10" t="s">
        <v>34</v>
      </c>
      <c r="H11" s="12">
        <v>3</v>
      </c>
      <c r="I11" s="13">
        <v>59.99</v>
      </c>
      <c r="J11" s="10" t="s">
        <v>21</v>
      </c>
      <c r="K11" s="10" t="s">
        <v>51</v>
      </c>
      <c r="L11" s="10" t="s">
        <v>28</v>
      </c>
      <c r="M11" s="11">
        <v>45207</v>
      </c>
      <c r="N11" s="44">
        <v>179.97</v>
      </c>
    </row>
    <row r="12" spans="1:26" ht="14.4">
      <c r="A12" s="43" t="s">
        <v>68</v>
      </c>
      <c r="B12" s="11">
        <v>45408</v>
      </c>
      <c r="C12" s="10" t="s">
        <v>69</v>
      </c>
      <c r="D12" s="10" t="s">
        <v>70</v>
      </c>
      <c r="E12" s="10" t="s">
        <v>45</v>
      </c>
      <c r="F12" s="10" t="s">
        <v>46</v>
      </c>
      <c r="G12" s="10" t="s">
        <v>47</v>
      </c>
      <c r="H12" s="12">
        <v>1</v>
      </c>
      <c r="I12" s="13">
        <v>149.99</v>
      </c>
      <c r="J12" s="10" t="s">
        <v>27</v>
      </c>
      <c r="K12" s="10" t="s">
        <v>51</v>
      </c>
      <c r="L12" s="10" t="s">
        <v>37</v>
      </c>
      <c r="M12" s="11">
        <v>45103</v>
      </c>
      <c r="N12" s="44">
        <v>149.99</v>
      </c>
    </row>
    <row r="13" spans="1:26" ht="14.4">
      <c r="A13" s="43" t="s">
        <v>71</v>
      </c>
      <c r="B13" s="11">
        <v>45408</v>
      </c>
      <c r="C13" s="10" t="s">
        <v>39</v>
      </c>
      <c r="D13" s="10" t="s">
        <v>40</v>
      </c>
      <c r="E13" s="10" t="s">
        <v>45</v>
      </c>
      <c r="F13" s="10" t="s">
        <v>46</v>
      </c>
      <c r="G13" s="10" t="s">
        <v>47</v>
      </c>
      <c r="H13" s="12">
        <v>5</v>
      </c>
      <c r="I13" s="13">
        <v>149.99</v>
      </c>
      <c r="J13" s="10" t="s">
        <v>58</v>
      </c>
      <c r="K13" s="10" t="s">
        <v>41</v>
      </c>
      <c r="L13" s="10" t="s">
        <v>23</v>
      </c>
      <c r="M13" s="11">
        <v>44830</v>
      </c>
      <c r="N13" s="44">
        <v>749.95</v>
      </c>
    </row>
    <row r="14" spans="1:26" ht="14.4">
      <c r="A14" s="43" t="s">
        <v>72</v>
      </c>
      <c r="B14" s="11">
        <v>45408</v>
      </c>
      <c r="C14" s="10" t="s">
        <v>73</v>
      </c>
      <c r="D14" s="10" t="s">
        <v>74</v>
      </c>
      <c r="E14" s="10" t="s">
        <v>45</v>
      </c>
      <c r="F14" s="10" t="s">
        <v>46</v>
      </c>
      <c r="G14" s="10" t="s">
        <v>47</v>
      </c>
      <c r="H14" s="12">
        <v>3</v>
      </c>
      <c r="I14" s="13">
        <v>149.99</v>
      </c>
      <c r="J14" s="10" t="s">
        <v>21</v>
      </c>
      <c r="K14" s="10" t="s">
        <v>41</v>
      </c>
      <c r="L14" s="10" t="s">
        <v>28</v>
      </c>
      <c r="M14" s="11">
        <v>44806</v>
      </c>
      <c r="N14" s="44">
        <v>449.97</v>
      </c>
    </row>
    <row r="15" spans="1:26" ht="14.4">
      <c r="A15" s="43" t="s">
        <v>75</v>
      </c>
      <c r="B15" s="11">
        <v>45409</v>
      </c>
      <c r="C15" s="10" t="s">
        <v>76</v>
      </c>
      <c r="D15" s="10" t="s">
        <v>77</v>
      </c>
      <c r="E15" s="10" t="s">
        <v>32</v>
      </c>
      <c r="F15" s="10" t="s">
        <v>33</v>
      </c>
      <c r="G15" s="10" t="s">
        <v>34</v>
      </c>
      <c r="H15" s="12">
        <v>3</v>
      </c>
      <c r="I15" s="13">
        <v>59.99</v>
      </c>
      <c r="J15" s="10" t="s">
        <v>27</v>
      </c>
      <c r="K15" s="10" t="s">
        <v>41</v>
      </c>
      <c r="L15" s="10" t="s">
        <v>37</v>
      </c>
      <c r="M15" s="11">
        <v>45351</v>
      </c>
      <c r="N15" s="44">
        <v>179.97</v>
      </c>
    </row>
    <row r="16" spans="1:26" ht="14.4">
      <c r="A16" s="43" t="s">
        <v>78</v>
      </c>
      <c r="B16" s="11">
        <v>45409</v>
      </c>
      <c r="C16" s="10" t="s">
        <v>79</v>
      </c>
      <c r="D16" s="10" t="s">
        <v>80</v>
      </c>
      <c r="E16" s="10" t="s">
        <v>81</v>
      </c>
      <c r="F16" s="10" t="s">
        <v>82</v>
      </c>
      <c r="G16" s="10" t="s">
        <v>20</v>
      </c>
      <c r="H16" s="12">
        <v>3</v>
      </c>
      <c r="I16" s="13">
        <v>699.99</v>
      </c>
      <c r="J16" s="10" t="s">
        <v>27</v>
      </c>
      <c r="K16" s="10" t="s">
        <v>51</v>
      </c>
      <c r="L16" s="10" t="s">
        <v>23</v>
      </c>
      <c r="M16" s="11">
        <v>44577</v>
      </c>
      <c r="N16" s="44">
        <v>2099.9699999999998</v>
      </c>
    </row>
    <row r="17" spans="1:14" ht="14.4">
      <c r="A17" s="43" t="s">
        <v>83</v>
      </c>
      <c r="B17" s="11">
        <v>45409</v>
      </c>
      <c r="C17" s="10" t="s">
        <v>84</v>
      </c>
      <c r="D17" s="10" t="s">
        <v>85</v>
      </c>
      <c r="E17" s="10" t="s">
        <v>62</v>
      </c>
      <c r="F17" s="10" t="s">
        <v>63</v>
      </c>
      <c r="G17" s="10" t="s">
        <v>20</v>
      </c>
      <c r="H17" s="12">
        <v>1</v>
      </c>
      <c r="I17" s="13">
        <v>899.99</v>
      </c>
      <c r="J17" s="10" t="s">
        <v>58</v>
      </c>
      <c r="K17" s="10" t="s">
        <v>41</v>
      </c>
      <c r="L17" s="10" t="s">
        <v>37</v>
      </c>
      <c r="M17" s="11">
        <v>44920</v>
      </c>
      <c r="N17" s="44">
        <v>899.99</v>
      </c>
    </row>
    <row r="18" spans="1:14" ht="14.4">
      <c r="A18" s="43" t="s">
        <v>86</v>
      </c>
      <c r="B18" s="11">
        <v>45410</v>
      </c>
      <c r="C18" s="10" t="s">
        <v>87</v>
      </c>
      <c r="D18" s="10" t="s">
        <v>88</v>
      </c>
      <c r="E18" s="10" t="s">
        <v>45</v>
      </c>
      <c r="F18" s="10" t="s">
        <v>46</v>
      </c>
      <c r="G18" s="10" t="s">
        <v>47</v>
      </c>
      <c r="H18" s="12">
        <v>4</v>
      </c>
      <c r="I18" s="13">
        <v>149.99</v>
      </c>
      <c r="J18" s="10" t="s">
        <v>58</v>
      </c>
      <c r="K18" s="10" t="s">
        <v>41</v>
      </c>
      <c r="L18" s="10" t="s">
        <v>28</v>
      </c>
      <c r="M18" s="11">
        <v>45374</v>
      </c>
      <c r="N18" s="44">
        <v>599.96</v>
      </c>
    </row>
    <row r="19" spans="1:14" ht="14.4">
      <c r="A19" s="43" t="s">
        <v>89</v>
      </c>
      <c r="B19" s="11">
        <v>45410</v>
      </c>
      <c r="C19" s="10" t="s">
        <v>90</v>
      </c>
      <c r="D19" s="10" t="s">
        <v>91</v>
      </c>
      <c r="E19" s="10" t="s">
        <v>81</v>
      </c>
      <c r="F19" s="10" t="s">
        <v>82</v>
      </c>
      <c r="G19" s="10" t="s">
        <v>20</v>
      </c>
      <c r="H19" s="12">
        <v>2</v>
      </c>
      <c r="I19" s="13">
        <v>699.99</v>
      </c>
      <c r="J19" s="10" t="s">
        <v>21</v>
      </c>
      <c r="K19" s="10" t="s">
        <v>41</v>
      </c>
      <c r="L19" s="10" t="s">
        <v>23</v>
      </c>
      <c r="M19" s="11">
        <v>44781</v>
      </c>
      <c r="N19" s="44">
        <v>1399.98</v>
      </c>
    </row>
    <row r="20" spans="1:14" ht="14.4">
      <c r="A20" s="43" t="s">
        <v>92</v>
      </c>
      <c r="B20" s="11">
        <v>45410</v>
      </c>
      <c r="C20" s="10" t="s">
        <v>87</v>
      </c>
      <c r="D20" s="10" t="s">
        <v>88</v>
      </c>
      <c r="E20" s="10" t="s">
        <v>62</v>
      </c>
      <c r="F20" s="10" t="s">
        <v>63</v>
      </c>
      <c r="G20" s="10" t="s">
        <v>20</v>
      </c>
      <c r="H20" s="12">
        <v>4</v>
      </c>
      <c r="I20" s="13">
        <v>899.99</v>
      </c>
      <c r="J20" s="10" t="s">
        <v>27</v>
      </c>
      <c r="K20" s="10" t="s">
        <v>51</v>
      </c>
      <c r="L20" s="10" t="s">
        <v>37</v>
      </c>
      <c r="M20" s="11">
        <v>45327</v>
      </c>
      <c r="N20" s="44">
        <v>3599.96</v>
      </c>
    </row>
    <row r="21" spans="1:14" ht="15.75" customHeight="1">
      <c r="A21" s="43" t="s">
        <v>93</v>
      </c>
      <c r="B21" s="11">
        <v>45410</v>
      </c>
      <c r="C21" s="10" t="s">
        <v>94</v>
      </c>
      <c r="D21" s="10" t="s">
        <v>95</v>
      </c>
      <c r="E21" s="10" t="s">
        <v>18</v>
      </c>
      <c r="F21" s="10" t="s">
        <v>19</v>
      </c>
      <c r="G21" s="10" t="s">
        <v>20</v>
      </c>
      <c r="H21" s="12">
        <v>3</v>
      </c>
      <c r="I21" s="13">
        <v>249.99</v>
      </c>
      <c r="J21" s="10" t="s">
        <v>27</v>
      </c>
      <c r="K21" s="10" t="s">
        <v>41</v>
      </c>
      <c r="L21" s="10" t="s">
        <v>28</v>
      </c>
      <c r="M21" s="11">
        <v>45224</v>
      </c>
      <c r="N21" s="44">
        <v>749.97</v>
      </c>
    </row>
    <row r="22" spans="1:14" ht="15.75" customHeight="1">
      <c r="A22" s="43" t="s">
        <v>96</v>
      </c>
      <c r="B22" s="11">
        <v>45412</v>
      </c>
      <c r="C22" s="10" t="s">
        <v>97</v>
      </c>
      <c r="D22" s="10" t="s">
        <v>98</v>
      </c>
      <c r="E22" s="10" t="s">
        <v>81</v>
      </c>
      <c r="F22" s="10" t="s">
        <v>82</v>
      </c>
      <c r="G22" s="10" t="s">
        <v>20</v>
      </c>
      <c r="H22" s="12">
        <v>5</v>
      </c>
      <c r="I22" s="13">
        <v>699.99</v>
      </c>
      <c r="J22" s="10" t="s">
        <v>21</v>
      </c>
      <c r="K22" s="10" t="s">
        <v>51</v>
      </c>
      <c r="L22" s="10" t="s">
        <v>23</v>
      </c>
      <c r="M22" s="11">
        <v>45167</v>
      </c>
      <c r="N22" s="44">
        <v>3499.95</v>
      </c>
    </row>
    <row r="23" spans="1:14" ht="15.75" customHeight="1">
      <c r="A23" s="43" t="s">
        <v>99</v>
      </c>
      <c r="B23" s="11">
        <v>45413</v>
      </c>
      <c r="C23" s="10" t="s">
        <v>100</v>
      </c>
      <c r="D23" s="10" t="s">
        <v>101</v>
      </c>
      <c r="E23" s="10" t="s">
        <v>81</v>
      </c>
      <c r="F23" s="10" t="s">
        <v>82</v>
      </c>
      <c r="G23" s="10" t="s">
        <v>20</v>
      </c>
      <c r="H23" s="12">
        <v>4</v>
      </c>
      <c r="I23" s="13">
        <v>699.99</v>
      </c>
      <c r="J23" s="10" t="s">
        <v>21</v>
      </c>
      <c r="K23" s="10" t="s">
        <v>64</v>
      </c>
      <c r="L23" s="10" t="s">
        <v>37</v>
      </c>
      <c r="M23" s="11">
        <v>44409</v>
      </c>
      <c r="N23" s="44">
        <v>2799.96</v>
      </c>
    </row>
    <row r="24" spans="1:14" ht="15.75" customHeight="1">
      <c r="A24" s="43" t="s">
        <v>102</v>
      </c>
      <c r="B24" s="11">
        <v>45415</v>
      </c>
      <c r="C24" s="10" t="s">
        <v>103</v>
      </c>
      <c r="D24" s="10" t="s">
        <v>104</v>
      </c>
      <c r="E24" s="10" t="s">
        <v>18</v>
      </c>
      <c r="F24" s="10" t="s">
        <v>19</v>
      </c>
      <c r="G24" s="10" t="s">
        <v>20</v>
      </c>
      <c r="H24" s="12">
        <v>4</v>
      </c>
      <c r="I24" s="13">
        <v>249.99</v>
      </c>
      <c r="J24" s="10" t="s">
        <v>35</v>
      </c>
      <c r="K24" s="10" t="s">
        <v>41</v>
      </c>
      <c r="L24" s="10" t="s">
        <v>37</v>
      </c>
      <c r="M24" s="11">
        <v>44468</v>
      </c>
      <c r="N24" s="44">
        <v>999.96</v>
      </c>
    </row>
    <row r="25" spans="1:14" ht="15.75" customHeight="1">
      <c r="A25" s="43" t="s">
        <v>105</v>
      </c>
      <c r="B25" s="11">
        <v>45416</v>
      </c>
      <c r="C25" s="10" t="s">
        <v>87</v>
      </c>
      <c r="D25" s="10" t="s">
        <v>88</v>
      </c>
      <c r="E25" s="10" t="s">
        <v>106</v>
      </c>
      <c r="F25" s="10" t="s">
        <v>107</v>
      </c>
      <c r="G25" s="10" t="s">
        <v>47</v>
      </c>
      <c r="H25" s="12">
        <v>4</v>
      </c>
      <c r="I25" s="13">
        <v>299.99</v>
      </c>
      <c r="J25" s="10" t="s">
        <v>21</v>
      </c>
      <c r="K25" s="10" t="s">
        <v>51</v>
      </c>
      <c r="L25" s="10" t="s">
        <v>28</v>
      </c>
      <c r="M25" s="11">
        <v>44716</v>
      </c>
      <c r="N25" s="44">
        <v>1199.96</v>
      </c>
    </row>
    <row r="26" spans="1:14" ht="15.75" customHeight="1">
      <c r="A26" s="43" t="s">
        <v>108</v>
      </c>
      <c r="B26" s="11">
        <v>45422</v>
      </c>
      <c r="C26" s="10" t="s">
        <v>109</v>
      </c>
      <c r="D26" s="10" t="s">
        <v>110</v>
      </c>
      <c r="E26" s="10" t="s">
        <v>18</v>
      </c>
      <c r="F26" s="10" t="s">
        <v>19</v>
      </c>
      <c r="G26" s="10" t="s">
        <v>20</v>
      </c>
      <c r="H26" s="12">
        <v>5</v>
      </c>
      <c r="I26" s="13">
        <v>249.99</v>
      </c>
      <c r="J26" s="10" t="s">
        <v>27</v>
      </c>
      <c r="K26" s="10" t="s">
        <v>51</v>
      </c>
      <c r="L26" s="10" t="s">
        <v>37</v>
      </c>
      <c r="M26" s="11">
        <v>44525</v>
      </c>
      <c r="N26" s="44">
        <v>1249.95</v>
      </c>
    </row>
    <row r="27" spans="1:14" ht="15.75" customHeight="1">
      <c r="A27" s="43" t="s">
        <v>111</v>
      </c>
      <c r="B27" s="11">
        <v>45424</v>
      </c>
      <c r="C27" s="10" t="s">
        <v>69</v>
      </c>
      <c r="D27" s="10" t="s">
        <v>70</v>
      </c>
      <c r="E27" s="10" t="s">
        <v>106</v>
      </c>
      <c r="F27" s="10" t="s">
        <v>107</v>
      </c>
      <c r="G27" s="10" t="s">
        <v>47</v>
      </c>
      <c r="H27" s="12">
        <v>5</v>
      </c>
      <c r="I27" s="13">
        <v>299.99</v>
      </c>
      <c r="J27" s="10" t="s">
        <v>35</v>
      </c>
      <c r="K27" s="10" t="s">
        <v>64</v>
      </c>
      <c r="L27" s="10" t="s">
        <v>23</v>
      </c>
      <c r="M27" s="11">
        <v>45168</v>
      </c>
      <c r="N27" s="44">
        <v>1499.95</v>
      </c>
    </row>
    <row r="28" spans="1:14" ht="15.75" customHeight="1">
      <c r="A28" s="43" t="s">
        <v>112</v>
      </c>
      <c r="B28" s="11">
        <v>45424</v>
      </c>
      <c r="C28" s="10" t="s">
        <v>113</v>
      </c>
      <c r="D28" s="10" t="s">
        <v>114</v>
      </c>
      <c r="E28" s="10" t="s">
        <v>115</v>
      </c>
      <c r="F28" s="10" t="s">
        <v>116</v>
      </c>
      <c r="G28" s="10" t="s">
        <v>34</v>
      </c>
      <c r="H28" s="12">
        <v>3</v>
      </c>
      <c r="I28" s="13">
        <v>79.989999999999995</v>
      </c>
      <c r="J28" s="10" t="s">
        <v>35</v>
      </c>
      <c r="K28" s="10" t="s">
        <v>64</v>
      </c>
      <c r="L28" s="10" t="s">
        <v>28</v>
      </c>
      <c r="M28" s="11">
        <v>45012</v>
      </c>
      <c r="N28" s="44">
        <v>239.97</v>
      </c>
    </row>
    <row r="29" spans="1:14" ht="15.75" customHeight="1">
      <c r="A29" s="43" t="s">
        <v>117</v>
      </c>
      <c r="B29" s="11">
        <v>45424</v>
      </c>
      <c r="C29" s="10" t="s">
        <v>100</v>
      </c>
      <c r="D29" s="10" t="s">
        <v>101</v>
      </c>
      <c r="E29" s="10" t="s">
        <v>118</v>
      </c>
      <c r="F29" s="10" t="s">
        <v>119</v>
      </c>
      <c r="G29" s="10" t="s">
        <v>20</v>
      </c>
      <c r="H29" s="12">
        <v>5</v>
      </c>
      <c r="I29" s="13">
        <v>89.99</v>
      </c>
      <c r="J29" s="10" t="s">
        <v>21</v>
      </c>
      <c r="K29" s="10" t="s">
        <v>41</v>
      </c>
      <c r="L29" s="10" t="s">
        <v>28</v>
      </c>
      <c r="M29" s="11">
        <v>44919</v>
      </c>
      <c r="N29" s="44">
        <v>449.95</v>
      </c>
    </row>
    <row r="30" spans="1:14" ht="15.75" customHeight="1">
      <c r="A30" s="43" t="s">
        <v>120</v>
      </c>
      <c r="B30" s="11">
        <v>45425</v>
      </c>
      <c r="C30" s="10" t="s">
        <v>121</v>
      </c>
      <c r="D30" s="10" t="s">
        <v>122</v>
      </c>
      <c r="E30" s="10" t="s">
        <v>32</v>
      </c>
      <c r="F30" s="10" t="s">
        <v>33</v>
      </c>
      <c r="G30" s="10" t="s">
        <v>34</v>
      </c>
      <c r="H30" s="12">
        <v>2</v>
      </c>
      <c r="I30" s="13">
        <v>59.99</v>
      </c>
      <c r="J30" s="10" t="s">
        <v>58</v>
      </c>
      <c r="K30" s="10" t="s">
        <v>22</v>
      </c>
      <c r="L30" s="10" t="s">
        <v>37</v>
      </c>
      <c r="M30" s="11">
        <v>45214</v>
      </c>
      <c r="N30" s="44">
        <v>119.98</v>
      </c>
    </row>
    <row r="31" spans="1:14" ht="15.75" customHeight="1">
      <c r="A31" s="43" t="s">
        <v>123</v>
      </c>
      <c r="B31" s="11">
        <v>45427</v>
      </c>
      <c r="C31" s="10" t="s">
        <v>124</v>
      </c>
      <c r="D31" s="10" t="s">
        <v>125</v>
      </c>
      <c r="E31" s="10" t="s">
        <v>32</v>
      </c>
      <c r="F31" s="10" t="s">
        <v>33</v>
      </c>
      <c r="G31" s="10" t="s">
        <v>34</v>
      </c>
      <c r="H31" s="12">
        <v>4</v>
      </c>
      <c r="I31" s="13">
        <v>59.99</v>
      </c>
      <c r="J31" s="10" t="s">
        <v>58</v>
      </c>
      <c r="K31" s="10" t="s">
        <v>64</v>
      </c>
      <c r="L31" s="10" t="s">
        <v>37</v>
      </c>
      <c r="M31" s="11">
        <v>44867</v>
      </c>
      <c r="N31" s="44">
        <v>239.96</v>
      </c>
    </row>
    <row r="32" spans="1:14" ht="15.75" customHeight="1">
      <c r="A32" s="43" t="s">
        <v>126</v>
      </c>
      <c r="B32" s="11">
        <v>45427</v>
      </c>
      <c r="C32" s="10" t="s">
        <v>56</v>
      </c>
      <c r="D32" s="10" t="s">
        <v>57</v>
      </c>
      <c r="E32" s="10" t="s">
        <v>127</v>
      </c>
      <c r="F32" s="10" t="s">
        <v>128</v>
      </c>
      <c r="G32" s="10" t="s">
        <v>47</v>
      </c>
      <c r="H32" s="12">
        <v>5</v>
      </c>
      <c r="I32" s="13">
        <v>199.99</v>
      </c>
      <c r="J32" s="10" t="s">
        <v>21</v>
      </c>
      <c r="K32" s="10" t="s">
        <v>36</v>
      </c>
      <c r="L32" s="10" t="s">
        <v>37</v>
      </c>
      <c r="M32" s="11">
        <v>44412</v>
      </c>
      <c r="N32" s="44">
        <v>999.95</v>
      </c>
    </row>
    <row r="33" spans="1:14" ht="15.75" customHeight="1">
      <c r="A33" s="43" t="s">
        <v>129</v>
      </c>
      <c r="B33" s="11">
        <v>45428</v>
      </c>
      <c r="C33" s="10" t="s">
        <v>130</v>
      </c>
      <c r="D33" s="10" t="s">
        <v>131</v>
      </c>
      <c r="E33" s="10" t="s">
        <v>45</v>
      </c>
      <c r="F33" s="10" t="s">
        <v>46</v>
      </c>
      <c r="G33" s="10" t="s">
        <v>47</v>
      </c>
      <c r="H33" s="12">
        <v>2</v>
      </c>
      <c r="I33" s="13">
        <v>149.99</v>
      </c>
      <c r="J33" s="10" t="s">
        <v>27</v>
      </c>
      <c r="K33" s="10" t="s">
        <v>51</v>
      </c>
      <c r="L33" s="10" t="s">
        <v>23</v>
      </c>
      <c r="M33" s="11">
        <v>44823</v>
      </c>
      <c r="N33" s="44">
        <v>299.98</v>
      </c>
    </row>
    <row r="34" spans="1:14" ht="15.75" customHeight="1">
      <c r="A34" s="43" t="s">
        <v>132</v>
      </c>
      <c r="B34" s="11">
        <v>45430</v>
      </c>
      <c r="C34" s="10" t="s">
        <v>133</v>
      </c>
      <c r="D34" s="10" t="s">
        <v>134</v>
      </c>
      <c r="E34" s="10" t="s">
        <v>45</v>
      </c>
      <c r="F34" s="10" t="s">
        <v>46</v>
      </c>
      <c r="G34" s="10" t="s">
        <v>47</v>
      </c>
      <c r="H34" s="12">
        <v>3</v>
      </c>
      <c r="I34" s="13">
        <v>149.99</v>
      </c>
      <c r="J34" s="10" t="s">
        <v>27</v>
      </c>
      <c r="K34" s="10" t="s">
        <v>51</v>
      </c>
      <c r="L34" s="10" t="s">
        <v>28</v>
      </c>
      <c r="M34" s="11">
        <v>45068</v>
      </c>
      <c r="N34" s="44">
        <v>449.97</v>
      </c>
    </row>
    <row r="35" spans="1:14" ht="15.75" customHeight="1">
      <c r="A35" s="43" t="s">
        <v>135</v>
      </c>
      <c r="B35" s="11">
        <v>45432</v>
      </c>
      <c r="C35" s="10" t="s">
        <v>30</v>
      </c>
      <c r="D35" s="10" t="s">
        <v>31</v>
      </c>
      <c r="E35" s="10" t="s">
        <v>62</v>
      </c>
      <c r="F35" s="10" t="s">
        <v>63</v>
      </c>
      <c r="G35" s="10" t="s">
        <v>20</v>
      </c>
      <c r="H35" s="12">
        <v>1</v>
      </c>
      <c r="I35" s="13">
        <v>899.99</v>
      </c>
      <c r="J35" s="10" t="s">
        <v>27</v>
      </c>
      <c r="K35" s="10" t="s">
        <v>51</v>
      </c>
      <c r="L35" s="10" t="s">
        <v>28</v>
      </c>
      <c r="M35" s="11">
        <v>44578</v>
      </c>
      <c r="N35" s="44">
        <v>899.99</v>
      </c>
    </row>
    <row r="36" spans="1:14" ht="15.75" customHeight="1">
      <c r="A36" s="43" t="s">
        <v>136</v>
      </c>
      <c r="B36" s="11">
        <v>45434</v>
      </c>
      <c r="C36" s="10" t="s">
        <v>100</v>
      </c>
      <c r="D36" s="10" t="s">
        <v>101</v>
      </c>
      <c r="E36" s="10" t="s">
        <v>106</v>
      </c>
      <c r="F36" s="10" t="s">
        <v>107</v>
      </c>
      <c r="G36" s="10" t="s">
        <v>47</v>
      </c>
      <c r="H36" s="12">
        <v>3</v>
      </c>
      <c r="I36" s="13">
        <v>299.99</v>
      </c>
      <c r="J36" s="10" t="s">
        <v>27</v>
      </c>
      <c r="K36" s="10" t="s">
        <v>64</v>
      </c>
      <c r="L36" s="10" t="s">
        <v>23</v>
      </c>
      <c r="M36" s="11">
        <v>44824</v>
      </c>
      <c r="N36" s="44">
        <v>899.97</v>
      </c>
    </row>
    <row r="37" spans="1:14" ht="15.75" customHeight="1">
      <c r="A37" s="43" t="s">
        <v>137</v>
      </c>
      <c r="B37" s="11">
        <v>45435</v>
      </c>
      <c r="C37" s="10" t="s">
        <v>130</v>
      </c>
      <c r="D37" s="10" t="s">
        <v>131</v>
      </c>
      <c r="E37" s="10" t="s">
        <v>115</v>
      </c>
      <c r="F37" s="10" t="s">
        <v>116</v>
      </c>
      <c r="G37" s="10" t="s">
        <v>34</v>
      </c>
      <c r="H37" s="12">
        <v>3</v>
      </c>
      <c r="I37" s="13">
        <v>79.989999999999995</v>
      </c>
      <c r="J37" s="10" t="s">
        <v>21</v>
      </c>
      <c r="K37" s="10" t="s">
        <v>36</v>
      </c>
      <c r="L37" s="10" t="s">
        <v>23</v>
      </c>
      <c r="M37" s="11">
        <v>45046</v>
      </c>
      <c r="N37" s="44">
        <v>239.97</v>
      </c>
    </row>
    <row r="38" spans="1:14" ht="15.75" customHeight="1">
      <c r="A38" s="43" t="s">
        <v>138</v>
      </c>
      <c r="B38" s="11">
        <v>45438</v>
      </c>
      <c r="C38" s="10" t="s">
        <v>139</v>
      </c>
      <c r="D38" s="10" t="s">
        <v>140</v>
      </c>
      <c r="E38" s="10" t="s">
        <v>127</v>
      </c>
      <c r="F38" s="10" t="s">
        <v>128</v>
      </c>
      <c r="G38" s="10" t="s">
        <v>47</v>
      </c>
      <c r="H38" s="12">
        <v>3</v>
      </c>
      <c r="I38" s="13">
        <v>199.99</v>
      </c>
      <c r="J38" s="10" t="s">
        <v>27</v>
      </c>
      <c r="K38" s="10" t="s">
        <v>41</v>
      </c>
      <c r="L38" s="10" t="s">
        <v>28</v>
      </c>
      <c r="M38" s="11">
        <v>45292</v>
      </c>
      <c r="N38" s="44">
        <v>599.97</v>
      </c>
    </row>
    <row r="39" spans="1:14" ht="15.75" customHeight="1">
      <c r="A39" s="43" t="s">
        <v>141</v>
      </c>
      <c r="B39" s="11">
        <v>45440</v>
      </c>
      <c r="C39" s="10" t="s">
        <v>142</v>
      </c>
      <c r="D39" s="10" t="s">
        <v>143</v>
      </c>
      <c r="E39" s="10" t="s">
        <v>81</v>
      </c>
      <c r="F39" s="10" t="s">
        <v>82</v>
      </c>
      <c r="G39" s="10" t="s">
        <v>20</v>
      </c>
      <c r="H39" s="12">
        <v>5</v>
      </c>
      <c r="I39" s="13">
        <v>699.99</v>
      </c>
      <c r="J39" s="10" t="s">
        <v>35</v>
      </c>
      <c r="K39" s="10" t="s">
        <v>51</v>
      </c>
      <c r="L39" s="10" t="s">
        <v>37</v>
      </c>
      <c r="M39" s="11">
        <v>44407</v>
      </c>
      <c r="N39" s="44">
        <v>3499.95</v>
      </c>
    </row>
    <row r="40" spans="1:14" ht="15.75" customHeight="1">
      <c r="A40" s="43" t="s">
        <v>144</v>
      </c>
      <c r="B40" s="11">
        <v>45441</v>
      </c>
      <c r="C40" s="10" t="s">
        <v>145</v>
      </c>
      <c r="D40" s="10" t="s">
        <v>146</v>
      </c>
      <c r="E40" s="10" t="s">
        <v>118</v>
      </c>
      <c r="F40" s="10" t="s">
        <v>119</v>
      </c>
      <c r="G40" s="10" t="s">
        <v>20</v>
      </c>
      <c r="H40" s="12">
        <v>3</v>
      </c>
      <c r="I40" s="13">
        <v>89.99</v>
      </c>
      <c r="J40" s="10" t="s">
        <v>35</v>
      </c>
      <c r="K40" s="10" t="s">
        <v>22</v>
      </c>
      <c r="L40" s="10" t="s">
        <v>28</v>
      </c>
      <c r="M40" s="11">
        <v>45120</v>
      </c>
      <c r="N40" s="44">
        <v>269.97000000000003</v>
      </c>
    </row>
    <row r="41" spans="1:14" ht="15.75" customHeight="1">
      <c r="A41" s="43" t="s">
        <v>147</v>
      </c>
      <c r="B41" s="11">
        <v>45443</v>
      </c>
      <c r="C41" s="10" t="s">
        <v>148</v>
      </c>
      <c r="D41" s="10" t="s">
        <v>149</v>
      </c>
      <c r="E41" s="10" t="s">
        <v>115</v>
      </c>
      <c r="F41" s="10" t="s">
        <v>116</v>
      </c>
      <c r="G41" s="10" t="s">
        <v>34</v>
      </c>
      <c r="H41" s="12">
        <v>1</v>
      </c>
      <c r="I41" s="13">
        <v>79.989999999999995</v>
      </c>
      <c r="J41" s="10" t="s">
        <v>21</v>
      </c>
      <c r="K41" s="10" t="s">
        <v>41</v>
      </c>
      <c r="L41" s="10" t="s">
        <v>37</v>
      </c>
      <c r="M41" s="11">
        <v>44917</v>
      </c>
      <c r="N41" s="44">
        <v>79.989999999999995</v>
      </c>
    </row>
    <row r="42" spans="1:14" ht="15.75" customHeight="1">
      <c r="A42" s="43" t="s">
        <v>150</v>
      </c>
      <c r="B42" s="11">
        <v>45444</v>
      </c>
      <c r="C42" s="10" t="s">
        <v>151</v>
      </c>
      <c r="D42" s="10" t="s">
        <v>152</v>
      </c>
      <c r="E42" s="10" t="s">
        <v>32</v>
      </c>
      <c r="F42" s="10" t="s">
        <v>33</v>
      </c>
      <c r="G42" s="10" t="s">
        <v>34</v>
      </c>
      <c r="H42" s="12">
        <v>2</v>
      </c>
      <c r="I42" s="13">
        <v>59.99</v>
      </c>
      <c r="J42" s="10" t="s">
        <v>21</v>
      </c>
      <c r="K42" s="10" t="s">
        <v>51</v>
      </c>
      <c r="L42" s="10" t="s">
        <v>23</v>
      </c>
      <c r="M42" s="11">
        <v>45390</v>
      </c>
      <c r="N42" s="44">
        <v>119.98</v>
      </c>
    </row>
    <row r="43" spans="1:14" ht="15.75" customHeight="1">
      <c r="A43" s="43" t="s">
        <v>153</v>
      </c>
      <c r="B43" s="11">
        <v>45444</v>
      </c>
      <c r="C43" s="10" t="s">
        <v>56</v>
      </c>
      <c r="D43" s="10" t="s">
        <v>57</v>
      </c>
      <c r="E43" s="10" t="s">
        <v>118</v>
      </c>
      <c r="F43" s="10" t="s">
        <v>119</v>
      </c>
      <c r="G43" s="10" t="s">
        <v>20</v>
      </c>
      <c r="H43" s="12">
        <v>1</v>
      </c>
      <c r="I43" s="13">
        <v>89.99</v>
      </c>
      <c r="J43" s="10" t="s">
        <v>21</v>
      </c>
      <c r="K43" s="10" t="s">
        <v>41</v>
      </c>
      <c r="L43" s="10" t="s">
        <v>23</v>
      </c>
      <c r="M43" s="11">
        <v>45141</v>
      </c>
      <c r="N43" s="44">
        <v>89.99</v>
      </c>
    </row>
    <row r="44" spans="1:14" ht="15.75" customHeight="1">
      <c r="A44" s="43" t="s">
        <v>154</v>
      </c>
      <c r="B44" s="11">
        <v>45446</v>
      </c>
      <c r="C44" s="10" t="s">
        <v>155</v>
      </c>
      <c r="D44" s="10" t="s">
        <v>156</v>
      </c>
      <c r="E44" s="10" t="s">
        <v>118</v>
      </c>
      <c r="F44" s="10" t="s">
        <v>119</v>
      </c>
      <c r="G44" s="10" t="s">
        <v>20</v>
      </c>
      <c r="H44" s="12">
        <v>5</v>
      </c>
      <c r="I44" s="13">
        <v>89.99</v>
      </c>
      <c r="J44" s="10" t="s">
        <v>27</v>
      </c>
      <c r="K44" s="10" t="s">
        <v>64</v>
      </c>
      <c r="L44" s="10" t="s">
        <v>37</v>
      </c>
      <c r="M44" s="11">
        <v>44587</v>
      </c>
      <c r="N44" s="44">
        <v>449.95</v>
      </c>
    </row>
    <row r="45" spans="1:14" ht="15.75" customHeight="1">
      <c r="A45" s="43" t="s">
        <v>157</v>
      </c>
      <c r="B45" s="11">
        <v>45449</v>
      </c>
      <c r="C45" s="10" t="s">
        <v>25</v>
      </c>
      <c r="D45" s="10" t="s">
        <v>26</v>
      </c>
      <c r="E45" s="10" t="s">
        <v>18</v>
      </c>
      <c r="F45" s="10" t="s">
        <v>19</v>
      </c>
      <c r="G45" s="10" t="s">
        <v>20</v>
      </c>
      <c r="H45" s="12">
        <v>5</v>
      </c>
      <c r="I45" s="13">
        <v>249.99</v>
      </c>
      <c r="J45" s="10" t="s">
        <v>27</v>
      </c>
      <c r="K45" s="10" t="s">
        <v>64</v>
      </c>
      <c r="L45" s="10" t="s">
        <v>37</v>
      </c>
      <c r="M45" s="11">
        <v>44707</v>
      </c>
      <c r="N45" s="44">
        <v>1249.95</v>
      </c>
    </row>
    <row r="46" spans="1:14" ht="15.75" customHeight="1">
      <c r="A46" s="43" t="s">
        <v>158</v>
      </c>
      <c r="B46" s="11">
        <v>45449</v>
      </c>
      <c r="C46" s="10" t="s">
        <v>159</v>
      </c>
      <c r="D46" s="10" t="s">
        <v>160</v>
      </c>
      <c r="E46" s="10" t="s">
        <v>118</v>
      </c>
      <c r="F46" s="10" t="s">
        <v>119</v>
      </c>
      <c r="G46" s="10" t="s">
        <v>20</v>
      </c>
      <c r="H46" s="12">
        <v>1</v>
      </c>
      <c r="I46" s="13">
        <v>89.99</v>
      </c>
      <c r="J46" s="10" t="s">
        <v>27</v>
      </c>
      <c r="K46" s="10" t="s">
        <v>36</v>
      </c>
      <c r="L46" s="10" t="s">
        <v>37</v>
      </c>
      <c r="M46" s="11">
        <v>44582</v>
      </c>
      <c r="N46" s="44">
        <v>89.99</v>
      </c>
    </row>
    <row r="47" spans="1:14" ht="15.75" customHeight="1">
      <c r="A47" s="43" t="s">
        <v>161</v>
      </c>
      <c r="B47" s="11">
        <v>45450</v>
      </c>
      <c r="C47" s="10" t="s">
        <v>43</v>
      </c>
      <c r="D47" s="10" t="s">
        <v>44</v>
      </c>
      <c r="E47" s="10" t="s">
        <v>45</v>
      </c>
      <c r="F47" s="10" t="s">
        <v>46</v>
      </c>
      <c r="G47" s="10" t="s">
        <v>47</v>
      </c>
      <c r="H47" s="12">
        <v>2</v>
      </c>
      <c r="I47" s="13">
        <v>149.99</v>
      </c>
      <c r="J47" s="10" t="s">
        <v>21</v>
      </c>
      <c r="K47" s="10" t="s">
        <v>64</v>
      </c>
      <c r="L47" s="10" t="s">
        <v>28</v>
      </c>
      <c r="M47" s="11">
        <v>44645</v>
      </c>
      <c r="N47" s="44">
        <v>299.98</v>
      </c>
    </row>
    <row r="48" spans="1:14" ht="15.75" customHeight="1">
      <c r="A48" s="43" t="s">
        <v>162</v>
      </c>
      <c r="B48" s="11">
        <v>45452</v>
      </c>
      <c r="C48" s="10" t="s">
        <v>163</v>
      </c>
      <c r="D48" s="10" t="s">
        <v>164</v>
      </c>
      <c r="E48" s="10" t="s">
        <v>32</v>
      </c>
      <c r="F48" s="10" t="s">
        <v>33</v>
      </c>
      <c r="G48" s="10" t="s">
        <v>34</v>
      </c>
      <c r="H48" s="12">
        <v>4</v>
      </c>
      <c r="I48" s="13">
        <v>59.99</v>
      </c>
      <c r="J48" s="10" t="s">
        <v>21</v>
      </c>
      <c r="K48" s="10" t="s">
        <v>64</v>
      </c>
      <c r="L48" s="10" t="s">
        <v>37</v>
      </c>
      <c r="M48" s="11">
        <v>44435</v>
      </c>
      <c r="N48" s="44">
        <v>239.96</v>
      </c>
    </row>
    <row r="49" spans="1:14" ht="15.75" customHeight="1">
      <c r="A49" s="43" t="s">
        <v>165</v>
      </c>
      <c r="B49" s="11">
        <v>45456</v>
      </c>
      <c r="C49" s="10" t="s">
        <v>130</v>
      </c>
      <c r="D49" s="10" t="s">
        <v>131</v>
      </c>
      <c r="E49" s="10" t="s">
        <v>118</v>
      </c>
      <c r="F49" s="10" t="s">
        <v>119</v>
      </c>
      <c r="G49" s="10" t="s">
        <v>20</v>
      </c>
      <c r="H49" s="12">
        <v>5</v>
      </c>
      <c r="I49" s="13">
        <v>89.99</v>
      </c>
      <c r="J49" s="10" t="s">
        <v>21</v>
      </c>
      <c r="K49" s="10" t="s">
        <v>22</v>
      </c>
      <c r="L49" s="10" t="s">
        <v>28</v>
      </c>
      <c r="M49" s="11">
        <v>44579</v>
      </c>
      <c r="N49" s="44">
        <v>449.95</v>
      </c>
    </row>
    <row r="50" spans="1:14" ht="15.75" customHeight="1">
      <c r="A50" s="43" t="s">
        <v>166</v>
      </c>
      <c r="B50" s="11">
        <v>45459</v>
      </c>
      <c r="C50" s="10" t="s">
        <v>100</v>
      </c>
      <c r="D50" s="10" t="s">
        <v>101</v>
      </c>
      <c r="E50" s="10" t="s">
        <v>118</v>
      </c>
      <c r="F50" s="10" t="s">
        <v>119</v>
      </c>
      <c r="G50" s="10" t="s">
        <v>20</v>
      </c>
      <c r="H50" s="12">
        <v>2</v>
      </c>
      <c r="I50" s="13">
        <v>89.99</v>
      </c>
      <c r="J50" s="10" t="s">
        <v>27</v>
      </c>
      <c r="K50" s="10" t="s">
        <v>36</v>
      </c>
      <c r="L50" s="10" t="s">
        <v>28</v>
      </c>
      <c r="M50" s="11">
        <v>44471</v>
      </c>
      <c r="N50" s="44">
        <v>179.98</v>
      </c>
    </row>
    <row r="51" spans="1:14" ht="15.75" customHeight="1">
      <c r="A51" s="43" t="s">
        <v>167</v>
      </c>
      <c r="B51" s="11">
        <v>45459</v>
      </c>
      <c r="C51" s="10" t="s">
        <v>16</v>
      </c>
      <c r="D51" s="10" t="s">
        <v>17</v>
      </c>
      <c r="E51" s="10" t="s">
        <v>62</v>
      </c>
      <c r="F51" s="10" t="s">
        <v>63</v>
      </c>
      <c r="G51" s="10" t="s">
        <v>20</v>
      </c>
      <c r="H51" s="12">
        <v>5</v>
      </c>
      <c r="I51" s="13">
        <v>899.99</v>
      </c>
      <c r="J51" s="10" t="s">
        <v>27</v>
      </c>
      <c r="K51" s="10" t="s">
        <v>36</v>
      </c>
      <c r="L51" s="10" t="s">
        <v>37</v>
      </c>
      <c r="M51" s="11">
        <v>44974</v>
      </c>
      <c r="N51" s="44">
        <v>4499.95</v>
      </c>
    </row>
    <row r="52" spans="1:14" ht="15.75" customHeight="1">
      <c r="A52" s="43" t="s">
        <v>168</v>
      </c>
      <c r="B52" s="11">
        <v>45459</v>
      </c>
      <c r="C52" s="10" t="s">
        <v>124</v>
      </c>
      <c r="D52" s="10" t="s">
        <v>125</v>
      </c>
      <c r="E52" s="10" t="s">
        <v>62</v>
      </c>
      <c r="F52" s="10" t="s">
        <v>63</v>
      </c>
      <c r="G52" s="10" t="s">
        <v>20</v>
      </c>
      <c r="H52" s="12">
        <v>5</v>
      </c>
      <c r="I52" s="13">
        <v>899.99</v>
      </c>
      <c r="J52" s="10" t="s">
        <v>35</v>
      </c>
      <c r="K52" s="10" t="s">
        <v>64</v>
      </c>
      <c r="L52" s="10" t="s">
        <v>28</v>
      </c>
      <c r="M52" s="11">
        <v>45278</v>
      </c>
      <c r="N52" s="44">
        <v>4499.95</v>
      </c>
    </row>
    <row r="53" spans="1:14" ht="15.75" customHeight="1">
      <c r="A53" s="43" t="s">
        <v>169</v>
      </c>
      <c r="B53" s="11">
        <v>45460</v>
      </c>
      <c r="C53" s="10" t="s">
        <v>159</v>
      </c>
      <c r="D53" s="10" t="s">
        <v>160</v>
      </c>
      <c r="E53" s="10" t="s">
        <v>32</v>
      </c>
      <c r="F53" s="10" t="s">
        <v>33</v>
      </c>
      <c r="G53" s="10" t="s">
        <v>34</v>
      </c>
      <c r="H53" s="12">
        <v>1</v>
      </c>
      <c r="I53" s="13">
        <v>59.99</v>
      </c>
      <c r="J53" s="10" t="s">
        <v>58</v>
      </c>
      <c r="K53" s="10" t="s">
        <v>51</v>
      </c>
      <c r="L53" s="10" t="s">
        <v>28</v>
      </c>
      <c r="M53" s="11">
        <v>45190</v>
      </c>
      <c r="N53" s="44">
        <v>59.99</v>
      </c>
    </row>
    <row r="54" spans="1:14" ht="15.75" customHeight="1">
      <c r="A54" s="43" t="s">
        <v>170</v>
      </c>
      <c r="B54" s="11">
        <v>45460</v>
      </c>
      <c r="C54" s="10" t="s">
        <v>142</v>
      </c>
      <c r="D54" s="10" t="s">
        <v>143</v>
      </c>
      <c r="E54" s="10" t="s">
        <v>106</v>
      </c>
      <c r="F54" s="10" t="s">
        <v>107</v>
      </c>
      <c r="G54" s="10" t="s">
        <v>47</v>
      </c>
      <c r="H54" s="12">
        <v>2</v>
      </c>
      <c r="I54" s="13">
        <v>299.99</v>
      </c>
      <c r="J54" s="10" t="s">
        <v>58</v>
      </c>
      <c r="K54" s="10" t="s">
        <v>64</v>
      </c>
      <c r="L54" s="10" t="s">
        <v>37</v>
      </c>
      <c r="M54" s="11">
        <v>45253</v>
      </c>
      <c r="N54" s="44">
        <v>599.98</v>
      </c>
    </row>
    <row r="55" spans="1:14" ht="15.75" customHeight="1">
      <c r="A55" s="43" t="s">
        <v>171</v>
      </c>
      <c r="B55" s="11">
        <v>45468</v>
      </c>
      <c r="C55" s="10" t="s">
        <v>172</v>
      </c>
      <c r="D55" s="10" t="s">
        <v>173</v>
      </c>
      <c r="E55" s="10" t="s">
        <v>118</v>
      </c>
      <c r="F55" s="10" t="s">
        <v>119</v>
      </c>
      <c r="G55" s="10" t="s">
        <v>20</v>
      </c>
      <c r="H55" s="12">
        <v>4</v>
      </c>
      <c r="I55" s="13">
        <v>89.99</v>
      </c>
      <c r="J55" s="10" t="s">
        <v>58</v>
      </c>
      <c r="K55" s="10" t="s">
        <v>36</v>
      </c>
      <c r="L55" s="10" t="s">
        <v>23</v>
      </c>
      <c r="M55" s="11">
        <v>45281</v>
      </c>
      <c r="N55" s="44">
        <v>359.96</v>
      </c>
    </row>
    <row r="56" spans="1:14" ht="15.75" customHeight="1">
      <c r="A56" s="43" t="s">
        <v>174</v>
      </c>
      <c r="B56" s="11">
        <v>45469</v>
      </c>
      <c r="C56" s="10" t="s">
        <v>30</v>
      </c>
      <c r="D56" s="10" t="s">
        <v>31</v>
      </c>
      <c r="E56" s="10" t="s">
        <v>115</v>
      </c>
      <c r="F56" s="10" t="s">
        <v>116</v>
      </c>
      <c r="G56" s="10" t="s">
        <v>34</v>
      </c>
      <c r="H56" s="12">
        <v>1</v>
      </c>
      <c r="I56" s="13">
        <v>79.989999999999995</v>
      </c>
      <c r="J56" s="10" t="s">
        <v>35</v>
      </c>
      <c r="K56" s="10" t="s">
        <v>22</v>
      </c>
      <c r="L56" s="10" t="s">
        <v>28</v>
      </c>
      <c r="M56" s="11">
        <v>45352</v>
      </c>
      <c r="N56" s="44">
        <v>79.989999999999995</v>
      </c>
    </row>
    <row r="57" spans="1:14" ht="15.75" customHeight="1">
      <c r="A57" s="43" t="s">
        <v>175</v>
      </c>
      <c r="B57" s="11">
        <v>45469</v>
      </c>
      <c r="C57" s="10" t="s">
        <v>60</v>
      </c>
      <c r="D57" s="10" t="s">
        <v>61</v>
      </c>
      <c r="E57" s="10" t="s">
        <v>118</v>
      </c>
      <c r="F57" s="10" t="s">
        <v>119</v>
      </c>
      <c r="G57" s="10" t="s">
        <v>20</v>
      </c>
      <c r="H57" s="12">
        <v>2</v>
      </c>
      <c r="I57" s="13">
        <v>89.99</v>
      </c>
      <c r="J57" s="10" t="s">
        <v>21</v>
      </c>
      <c r="K57" s="10" t="s">
        <v>51</v>
      </c>
      <c r="L57" s="10" t="s">
        <v>23</v>
      </c>
      <c r="M57" s="11">
        <v>44438</v>
      </c>
      <c r="N57" s="44">
        <v>179.98</v>
      </c>
    </row>
    <row r="58" spans="1:14" ht="15.75" customHeight="1">
      <c r="A58" s="43" t="s">
        <v>176</v>
      </c>
      <c r="B58" s="11">
        <v>45471</v>
      </c>
      <c r="C58" s="10" t="s">
        <v>39</v>
      </c>
      <c r="D58" s="10" t="s">
        <v>40</v>
      </c>
      <c r="E58" s="10" t="s">
        <v>81</v>
      </c>
      <c r="F58" s="10" t="s">
        <v>82</v>
      </c>
      <c r="G58" s="10" t="s">
        <v>20</v>
      </c>
      <c r="H58" s="12">
        <v>3</v>
      </c>
      <c r="I58" s="13">
        <v>699.99</v>
      </c>
      <c r="J58" s="10" t="s">
        <v>27</v>
      </c>
      <c r="K58" s="10" t="s">
        <v>64</v>
      </c>
      <c r="L58" s="10" t="s">
        <v>28</v>
      </c>
      <c r="M58" s="11">
        <v>45102</v>
      </c>
      <c r="N58" s="44">
        <v>2099.9699999999998</v>
      </c>
    </row>
    <row r="59" spans="1:14" ht="15.75" customHeight="1">
      <c r="A59" s="43" t="s">
        <v>177</v>
      </c>
      <c r="B59" s="11">
        <v>45471</v>
      </c>
      <c r="C59" s="10" t="s">
        <v>100</v>
      </c>
      <c r="D59" s="10" t="s">
        <v>101</v>
      </c>
      <c r="E59" s="10" t="s">
        <v>62</v>
      </c>
      <c r="F59" s="10" t="s">
        <v>63</v>
      </c>
      <c r="G59" s="10" t="s">
        <v>20</v>
      </c>
      <c r="H59" s="12">
        <v>4</v>
      </c>
      <c r="I59" s="13">
        <v>899.99</v>
      </c>
      <c r="J59" s="10" t="s">
        <v>27</v>
      </c>
      <c r="K59" s="10" t="s">
        <v>64</v>
      </c>
      <c r="L59" s="10" t="s">
        <v>28</v>
      </c>
      <c r="M59" s="11">
        <v>44993</v>
      </c>
      <c r="N59" s="44">
        <v>3599.96</v>
      </c>
    </row>
    <row r="60" spans="1:14" ht="15.75" customHeight="1">
      <c r="A60" s="43" t="s">
        <v>178</v>
      </c>
      <c r="B60" s="11">
        <v>45472</v>
      </c>
      <c r="C60" s="10" t="s">
        <v>121</v>
      </c>
      <c r="D60" s="10" t="s">
        <v>122</v>
      </c>
      <c r="E60" s="10" t="s">
        <v>45</v>
      </c>
      <c r="F60" s="10" t="s">
        <v>46</v>
      </c>
      <c r="G60" s="10" t="s">
        <v>47</v>
      </c>
      <c r="H60" s="12">
        <v>1</v>
      </c>
      <c r="I60" s="13">
        <v>149.99</v>
      </c>
      <c r="J60" s="10" t="s">
        <v>35</v>
      </c>
      <c r="K60" s="10" t="s">
        <v>64</v>
      </c>
      <c r="L60" s="10" t="s">
        <v>23</v>
      </c>
      <c r="M60" s="11">
        <v>44851</v>
      </c>
      <c r="N60" s="44">
        <v>149.99</v>
      </c>
    </row>
    <row r="61" spans="1:14" ht="15.75" customHeight="1">
      <c r="A61" s="43" t="s">
        <v>179</v>
      </c>
      <c r="B61" s="11">
        <v>45474</v>
      </c>
      <c r="C61" s="10" t="s">
        <v>133</v>
      </c>
      <c r="D61" s="10" t="s">
        <v>134</v>
      </c>
      <c r="E61" s="10" t="s">
        <v>118</v>
      </c>
      <c r="F61" s="10" t="s">
        <v>119</v>
      </c>
      <c r="G61" s="10" t="s">
        <v>20</v>
      </c>
      <c r="H61" s="12">
        <v>2</v>
      </c>
      <c r="I61" s="13">
        <v>89.99</v>
      </c>
      <c r="J61" s="10" t="s">
        <v>35</v>
      </c>
      <c r="K61" s="10" t="s">
        <v>22</v>
      </c>
      <c r="L61" s="10" t="s">
        <v>28</v>
      </c>
      <c r="M61" s="11">
        <v>45275</v>
      </c>
      <c r="N61" s="44">
        <v>179.98</v>
      </c>
    </row>
    <row r="62" spans="1:14" ht="15.75" customHeight="1">
      <c r="A62" s="43" t="s">
        <v>180</v>
      </c>
      <c r="B62" s="11">
        <v>45475</v>
      </c>
      <c r="C62" s="10" t="s">
        <v>56</v>
      </c>
      <c r="D62" s="10" t="s">
        <v>57</v>
      </c>
      <c r="E62" s="10" t="s">
        <v>118</v>
      </c>
      <c r="F62" s="10" t="s">
        <v>119</v>
      </c>
      <c r="G62" s="10" t="s">
        <v>20</v>
      </c>
      <c r="H62" s="12">
        <v>1</v>
      </c>
      <c r="I62" s="13">
        <v>89.99</v>
      </c>
      <c r="J62" s="10" t="s">
        <v>35</v>
      </c>
      <c r="K62" s="10" t="s">
        <v>51</v>
      </c>
      <c r="L62" s="10" t="s">
        <v>37</v>
      </c>
      <c r="M62" s="11">
        <v>44802</v>
      </c>
      <c r="N62" s="44">
        <v>89.99</v>
      </c>
    </row>
    <row r="63" spans="1:14" ht="15.75" customHeight="1">
      <c r="A63" s="43" t="s">
        <v>181</v>
      </c>
      <c r="B63" s="11">
        <v>45476</v>
      </c>
      <c r="C63" s="10" t="s">
        <v>69</v>
      </c>
      <c r="D63" s="10" t="s">
        <v>70</v>
      </c>
      <c r="E63" s="10" t="s">
        <v>118</v>
      </c>
      <c r="F63" s="10" t="s">
        <v>119</v>
      </c>
      <c r="G63" s="10" t="s">
        <v>20</v>
      </c>
      <c r="H63" s="12">
        <v>1</v>
      </c>
      <c r="I63" s="13">
        <v>89.99</v>
      </c>
      <c r="J63" s="10" t="s">
        <v>21</v>
      </c>
      <c r="K63" s="10" t="s">
        <v>36</v>
      </c>
      <c r="L63" s="10" t="s">
        <v>37</v>
      </c>
      <c r="M63" s="11">
        <v>44611</v>
      </c>
      <c r="N63" s="44">
        <v>89.99</v>
      </c>
    </row>
    <row r="64" spans="1:14" ht="15.75" customHeight="1">
      <c r="A64" s="43" t="s">
        <v>182</v>
      </c>
      <c r="B64" s="11">
        <v>45476</v>
      </c>
      <c r="C64" s="10" t="s">
        <v>183</v>
      </c>
      <c r="D64" s="10" t="s">
        <v>184</v>
      </c>
      <c r="E64" s="10" t="s">
        <v>115</v>
      </c>
      <c r="F64" s="10" t="s">
        <v>116</v>
      </c>
      <c r="G64" s="10" t="s">
        <v>34</v>
      </c>
      <c r="H64" s="12">
        <v>5</v>
      </c>
      <c r="I64" s="13">
        <v>79.989999999999995</v>
      </c>
      <c r="J64" s="10" t="s">
        <v>58</v>
      </c>
      <c r="K64" s="10" t="s">
        <v>22</v>
      </c>
      <c r="L64" s="10" t="s">
        <v>23</v>
      </c>
      <c r="M64" s="11">
        <v>44981</v>
      </c>
      <c r="N64" s="44">
        <v>399.95</v>
      </c>
    </row>
    <row r="65" spans="1:14" ht="15.75" customHeight="1">
      <c r="A65" s="43" t="s">
        <v>185</v>
      </c>
      <c r="B65" s="11">
        <v>45481</v>
      </c>
      <c r="C65" s="10" t="s">
        <v>186</v>
      </c>
      <c r="D65" s="10" t="s">
        <v>187</v>
      </c>
      <c r="E65" s="10" t="s">
        <v>45</v>
      </c>
      <c r="F65" s="10" t="s">
        <v>46</v>
      </c>
      <c r="G65" s="10" t="s">
        <v>47</v>
      </c>
      <c r="H65" s="12">
        <v>1</v>
      </c>
      <c r="I65" s="13">
        <v>149.99</v>
      </c>
      <c r="J65" s="10" t="s">
        <v>35</v>
      </c>
      <c r="K65" s="10" t="s">
        <v>41</v>
      </c>
      <c r="L65" s="10" t="s">
        <v>23</v>
      </c>
      <c r="M65" s="11">
        <v>44421</v>
      </c>
      <c r="N65" s="44">
        <v>149.99</v>
      </c>
    </row>
    <row r="66" spans="1:14" ht="15.75" customHeight="1">
      <c r="A66" s="43" t="s">
        <v>188</v>
      </c>
      <c r="B66" s="11">
        <v>45481</v>
      </c>
      <c r="C66" s="10" t="s">
        <v>43</v>
      </c>
      <c r="D66" s="10" t="s">
        <v>44</v>
      </c>
      <c r="E66" s="10" t="s">
        <v>81</v>
      </c>
      <c r="F66" s="10" t="s">
        <v>82</v>
      </c>
      <c r="G66" s="10" t="s">
        <v>20</v>
      </c>
      <c r="H66" s="12">
        <v>2</v>
      </c>
      <c r="I66" s="13">
        <v>699.99</v>
      </c>
      <c r="J66" s="10" t="s">
        <v>35</v>
      </c>
      <c r="K66" s="10" t="s">
        <v>64</v>
      </c>
      <c r="L66" s="10" t="s">
        <v>28</v>
      </c>
      <c r="M66" s="11">
        <v>45389</v>
      </c>
      <c r="N66" s="44">
        <v>1399.98</v>
      </c>
    </row>
    <row r="67" spans="1:14" ht="15.75" customHeight="1">
      <c r="A67" s="43" t="s">
        <v>189</v>
      </c>
      <c r="B67" s="11">
        <v>45481</v>
      </c>
      <c r="C67" s="10" t="s">
        <v>97</v>
      </c>
      <c r="D67" s="10" t="s">
        <v>98</v>
      </c>
      <c r="E67" s="10" t="s">
        <v>118</v>
      </c>
      <c r="F67" s="10" t="s">
        <v>119</v>
      </c>
      <c r="G67" s="10" t="s">
        <v>20</v>
      </c>
      <c r="H67" s="12">
        <v>5</v>
      </c>
      <c r="I67" s="13">
        <v>89.99</v>
      </c>
      <c r="J67" s="10" t="s">
        <v>58</v>
      </c>
      <c r="K67" s="10" t="s">
        <v>41</v>
      </c>
      <c r="L67" s="10" t="s">
        <v>28</v>
      </c>
      <c r="M67" s="11">
        <v>45161</v>
      </c>
      <c r="N67" s="44">
        <v>449.95</v>
      </c>
    </row>
    <row r="68" spans="1:14" ht="15.75" customHeight="1">
      <c r="A68" s="43" t="s">
        <v>190</v>
      </c>
      <c r="B68" s="11">
        <v>45482</v>
      </c>
      <c r="C68" s="10" t="s">
        <v>172</v>
      </c>
      <c r="D68" s="10" t="s">
        <v>173</v>
      </c>
      <c r="E68" s="10" t="s">
        <v>32</v>
      </c>
      <c r="F68" s="10" t="s">
        <v>33</v>
      </c>
      <c r="G68" s="10" t="s">
        <v>34</v>
      </c>
      <c r="H68" s="12">
        <v>4</v>
      </c>
      <c r="I68" s="13">
        <v>59.99</v>
      </c>
      <c r="J68" s="10" t="s">
        <v>21</v>
      </c>
      <c r="K68" s="10" t="s">
        <v>36</v>
      </c>
      <c r="L68" s="10" t="s">
        <v>37</v>
      </c>
      <c r="M68" s="11">
        <v>44509</v>
      </c>
      <c r="N68" s="44">
        <v>239.96</v>
      </c>
    </row>
    <row r="69" spans="1:14" ht="15.75" customHeight="1">
      <c r="A69" s="43" t="s">
        <v>191</v>
      </c>
      <c r="B69" s="11">
        <v>45484</v>
      </c>
      <c r="C69" s="10" t="s">
        <v>25</v>
      </c>
      <c r="D69" s="10" t="s">
        <v>26</v>
      </c>
      <c r="E69" s="10" t="s">
        <v>53</v>
      </c>
      <c r="F69" s="10" t="s">
        <v>54</v>
      </c>
      <c r="G69" s="10" t="s">
        <v>20</v>
      </c>
      <c r="H69" s="12">
        <v>1</v>
      </c>
      <c r="I69" s="13">
        <v>149.99</v>
      </c>
      <c r="J69" s="10" t="s">
        <v>21</v>
      </c>
      <c r="K69" s="10" t="s">
        <v>22</v>
      </c>
      <c r="L69" s="10" t="s">
        <v>37</v>
      </c>
      <c r="M69" s="11">
        <v>44909</v>
      </c>
      <c r="N69" s="44">
        <v>149.99</v>
      </c>
    </row>
    <row r="70" spans="1:14" ht="15.75" customHeight="1">
      <c r="A70" s="43" t="s">
        <v>192</v>
      </c>
      <c r="B70" s="11">
        <v>45484</v>
      </c>
      <c r="C70" s="10" t="s">
        <v>193</v>
      </c>
      <c r="D70" s="10" t="s">
        <v>194</v>
      </c>
      <c r="E70" s="10" t="s">
        <v>106</v>
      </c>
      <c r="F70" s="10" t="s">
        <v>107</v>
      </c>
      <c r="G70" s="10" t="s">
        <v>47</v>
      </c>
      <c r="H70" s="12">
        <v>1</v>
      </c>
      <c r="I70" s="13">
        <v>299.99</v>
      </c>
      <c r="J70" s="10" t="s">
        <v>27</v>
      </c>
      <c r="K70" s="10" t="s">
        <v>41</v>
      </c>
      <c r="L70" s="10" t="s">
        <v>28</v>
      </c>
      <c r="M70" s="11">
        <v>44891</v>
      </c>
      <c r="N70" s="44">
        <v>299.99</v>
      </c>
    </row>
    <row r="71" spans="1:14" ht="15.75" customHeight="1">
      <c r="A71" s="43" t="s">
        <v>195</v>
      </c>
      <c r="B71" s="11">
        <v>45487</v>
      </c>
      <c r="C71" s="10" t="s">
        <v>193</v>
      </c>
      <c r="D71" s="10" t="s">
        <v>194</v>
      </c>
      <c r="E71" s="10" t="s">
        <v>127</v>
      </c>
      <c r="F71" s="10" t="s">
        <v>128</v>
      </c>
      <c r="G71" s="10" t="s">
        <v>47</v>
      </c>
      <c r="H71" s="12">
        <v>2</v>
      </c>
      <c r="I71" s="13">
        <v>199.99</v>
      </c>
      <c r="J71" s="10" t="s">
        <v>21</v>
      </c>
      <c r="K71" s="10" t="s">
        <v>41</v>
      </c>
      <c r="L71" s="10" t="s">
        <v>23</v>
      </c>
      <c r="M71" s="11">
        <v>44541</v>
      </c>
      <c r="N71" s="44">
        <v>399.98</v>
      </c>
    </row>
    <row r="72" spans="1:14" ht="15.75" customHeight="1">
      <c r="A72" s="43" t="s">
        <v>196</v>
      </c>
      <c r="B72" s="11">
        <v>45490</v>
      </c>
      <c r="C72" s="10" t="s">
        <v>197</v>
      </c>
      <c r="D72" s="10" t="s">
        <v>198</v>
      </c>
      <c r="E72" s="10" t="s">
        <v>32</v>
      </c>
      <c r="F72" s="10" t="s">
        <v>33</v>
      </c>
      <c r="G72" s="10" t="s">
        <v>34</v>
      </c>
      <c r="H72" s="12">
        <v>3</v>
      </c>
      <c r="I72" s="13">
        <v>59.99</v>
      </c>
      <c r="J72" s="10" t="s">
        <v>27</v>
      </c>
      <c r="K72" s="10" t="s">
        <v>51</v>
      </c>
      <c r="L72" s="10" t="s">
        <v>23</v>
      </c>
      <c r="M72" s="11">
        <v>45130</v>
      </c>
      <c r="N72" s="44">
        <v>179.97</v>
      </c>
    </row>
    <row r="73" spans="1:14" ht="15.75" customHeight="1">
      <c r="A73" s="43" t="s">
        <v>199</v>
      </c>
      <c r="B73" s="11">
        <v>45490</v>
      </c>
      <c r="C73" s="10" t="s">
        <v>73</v>
      </c>
      <c r="D73" s="10" t="s">
        <v>74</v>
      </c>
      <c r="E73" s="10" t="s">
        <v>45</v>
      </c>
      <c r="F73" s="10" t="s">
        <v>46</v>
      </c>
      <c r="G73" s="10" t="s">
        <v>47</v>
      </c>
      <c r="H73" s="12">
        <v>3</v>
      </c>
      <c r="I73" s="13">
        <v>149.99</v>
      </c>
      <c r="J73" s="10" t="s">
        <v>21</v>
      </c>
      <c r="K73" s="10" t="s">
        <v>22</v>
      </c>
      <c r="L73" s="10" t="s">
        <v>28</v>
      </c>
      <c r="M73" s="11">
        <v>45199</v>
      </c>
      <c r="N73" s="44">
        <v>449.97</v>
      </c>
    </row>
    <row r="74" spans="1:14" ht="15.75" customHeight="1">
      <c r="A74" s="43" t="s">
        <v>200</v>
      </c>
      <c r="B74" s="11">
        <v>45491</v>
      </c>
      <c r="C74" s="10" t="s">
        <v>66</v>
      </c>
      <c r="D74" s="10" t="s">
        <v>67</v>
      </c>
      <c r="E74" s="10" t="s">
        <v>127</v>
      </c>
      <c r="F74" s="10" t="s">
        <v>128</v>
      </c>
      <c r="G74" s="10" t="s">
        <v>47</v>
      </c>
      <c r="H74" s="12">
        <v>3</v>
      </c>
      <c r="I74" s="13">
        <v>199.99</v>
      </c>
      <c r="J74" s="10" t="s">
        <v>21</v>
      </c>
      <c r="K74" s="10" t="s">
        <v>41</v>
      </c>
      <c r="L74" s="10" t="s">
        <v>28</v>
      </c>
      <c r="M74" s="11">
        <v>45254</v>
      </c>
      <c r="N74" s="44">
        <v>599.97</v>
      </c>
    </row>
    <row r="75" spans="1:14" ht="15.75" customHeight="1">
      <c r="A75" s="43" t="s">
        <v>201</v>
      </c>
      <c r="B75" s="11">
        <v>45496</v>
      </c>
      <c r="C75" s="10" t="s">
        <v>151</v>
      </c>
      <c r="D75" s="10" t="s">
        <v>152</v>
      </c>
      <c r="E75" s="10" t="s">
        <v>62</v>
      </c>
      <c r="F75" s="10" t="s">
        <v>63</v>
      </c>
      <c r="G75" s="10" t="s">
        <v>20</v>
      </c>
      <c r="H75" s="12">
        <v>1</v>
      </c>
      <c r="I75" s="13">
        <v>899.99</v>
      </c>
      <c r="J75" s="10" t="s">
        <v>21</v>
      </c>
      <c r="K75" s="10" t="s">
        <v>22</v>
      </c>
      <c r="L75" s="10" t="s">
        <v>37</v>
      </c>
      <c r="M75" s="11">
        <v>45179</v>
      </c>
      <c r="N75" s="44">
        <v>899.99</v>
      </c>
    </row>
    <row r="76" spans="1:14" ht="15.75" customHeight="1">
      <c r="A76" s="43" t="s">
        <v>202</v>
      </c>
      <c r="B76" s="11">
        <v>45497</v>
      </c>
      <c r="C76" s="10" t="s">
        <v>25</v>
      </c>
      <c r="D76" s="10" t="s">
        <v>26</v>
      </c>
      <c r="E76" s="10" t="s">
        <v>62</v>
      </c>
      <c r="F76" s="10" t="s">
        <v>63</v>
      </c>
      <c r="G76" s="10" t="s">
        <v>20</v>
      </c>
      <c r="H76" s="12">
        <v>5</v>
      </c>
      <c r="I76" s="13">
        <v>899.99</v>
      </c>
      <c r="J76" s="10" t="s">
        <v>58</v>
      </c>
      <c r="K76" s="10" t="s">
        <v>36</v>
      </c>
      <c r="L76" s="10" t="s">
        <v>37</v>
      </c>
      <c r="M76" s="11">
        <v>44899</v>
      </c>
      <c r="N76" s="44">
        <v>4499.95</v>
      </c>
    </row>
    <row r="77" spans="1:14" ht="15.75" customHeight="1">
      <c r="A77" s="43" t="s">
        <v>203</v>
      </c>
      <c r="B77" s="11">
        <v>45498</v>
      </c>
      <c r="C77" s="10" t="s">
        <v>183</v>
      </c>
      <c r="D77" s="10" t="s">
        <v>184</v>
      </c>
      <c r="E77" s="10" t="s">
        <v>32</v>
      </c>
      <c r="F77" s="10" t="s">
        <v>33</v>
      </c>
      <c r="G77" s="10" t="s">
        <v>34</v>
      </c>
      <c r="H77" s="12">
        <v>2</v>
      </c>
      <c r="I77" s="13">
        <v>59.99</v>
      </c>
      <c r="J77" s="10" t="s">
        <v>21</v>
      </c>
      <c r="K77" s="10" t="s">
        <v>41</v>
      </c>
      <c r="L77" s="10" t="s">
        <v>37</v>
      </c>
      <c r="M77" s="11">
        <v>45152</v>
      </c>
      <c r="N77" s="44">
        <v>119.98</v>
      </c>
    </row>
    <row r="78" spans="1:14" ht="15.75" customHeight="1">
      <c r="A78" s="43" t="s">
        <v>204</v>
      </c>
      <c r="B78" s="11">
        <v>45498</v>
      </c>
      <c r="C78" s="10" t="s">
        <v>197</v>
      </c>
      <c r="D78" s="10" t="s">
        <v>198</v>
      </c>
      <c r="E78" s="10" t="s">
        <v>18</v>
      </c>
      <c r="F78" s="10" t="s">
        <v>19</v>
      </c>
      <c r="G78" s="10" t="s">
        <v>20</v>
      </c>
      <c r="H78" s="12">
        <v>4</v>
      </c>
      <c r="I78" s="13">
        <v>249.99</v>
      </c>
      <c r="J78" s="10" t="s">
        <v>58</v>
      </c>
      <c r="K78" s="10" t="s">
        <v>22</v>
      </c>
      <c r="L78" s="10" t="s">
        <v>37</v>
      </c>
      <c r="M78" s="11">
        <v>45127</v>
      </c>
      <c r="N78" s="44">
        <v>999.96</v>
      </c>
    </row>
    <row r="79" spans="1:14" ht="15.75" customHeight="1">
      <c r="A79" s="43" t="s">
        <v>205</v>
      </c>
      <c r="B79" s="11">
        <v>45500</v>
      </c>
      <c r="C79" s="10" t="s">
        <v>97</v>
      </c>
      <c r="D79" s="10" t="s">
        <v>98</v>
      </c>
      <c r="E79" s="10" t="s">
        <v>18</v>
      </c>
      <c r="F79" s="10" t="s">
        <v>19</v>
      </c>
      <c r="G79" s="10" t="s">
        <v>20</v>
      </c>
      <c r="H79" s="12">
        <v>2</v>
      </c>
      <c r="I79" s="13">
        <v>249.99</v>
      </c>
      <c r="J79" s="10" t="s">
        <v>21</v>
      </c>
      <c r="K79" s="10" t="s">
        <v>41</v>
      </c>
      <c r="L79" s="10" t="s">
        <v>28</v>
      </c>
      <c r="M79" s="11">
        <v>45164</v>
      </c>
      <c r="N79" s="44">
        <v>499.98</v>
      </c>
    </row>
    <row r="80" spans="1:14" ht="15.75" customHeight="1">
      <c r="A80" s="43" t="s">
        <v>206</v>
      </c>
      <c r="B80" s="11">
        <v>45500</v>
      </c>
      <c r="C80" s="10" t="s">
        <v>148</v>
      </c>
      <c r="D80" s="10" t="s">
        <v>149</v>
      </c>
      <c r="E80" s="10" t="s">
        <v>106</v>
      </c>
      <c r="F80" s="10" t="s">
        <v>107</v>
      </c>
      <c r="G80" s="10" t="s">
        <v>47</v>
      </c>
      <c r="H80" s="12">
        <v>1</v>
      </c>
      <c r="I80" s="13">
        <v>299.99</v>
      </c>
      <c r="J80" s="10" t="s">
        <v>21</v>
      </c>
      <c r="K80" s="10" t="s">
        <v>36</v>
      </c>
      <c r="L80" s="10" t="s">
        <v>23</v>
      </c>
      <c r="M80" s="11">
        <v>44982</v>
      </c>
      <c r="N80" s="44">
        <v>299.99</v>
      </c>
    </row>
    <row r="81" spans="1:14" ht="15.75" customHeight="1">
      <c r="A81" s="43" t="s">
        <v>207</v>
      </c>
      <c r="B81" s="11">
        <v>45501</v>
      </c>
      <c r="C81" s="10" t="s">
        <v>87</v>
      </c>
      <c r="D81" s="10" t="s">
        <v>88</v>
      </c>
      <c r="E81" s="10" t="s">
        <v>118</v>
      </c>
      <c r="F81" s="10" t="s">
        <v>119</v>
      </c>
      <c r="G81" s="10" t="s">
        <v>20</v>
      </c>
      <c r="H81" s="12">
        <v>2</v>
      </c>
      <c r="I81" s="13">
        <v>89.99</v>
      </c>
      <c r="J81" s="10" t="s">
        <v>35</v>
      </c>
      <c r="K81" s="10" t="s">
        <v>36</v>
      </c>
      <c r="L81" s="10" t="s">
        <v>23</v>
      </c>
      <c r="M81" s="11">
        <v>44976</v>
      </c>
      <c r="N81" s="44">
        <v>179.98</v>
      </c>
    </row>
    <row r="82" spans="1:14" ht="15.75" customHeight="1">
      <c r="A82" s="43" t="s">
        <v>208</v>
      </c>
      <c r="B82" s="11">
        <v>45501</v>
      </c>
      <c r="C82" s="10" t="s">
        <v>148</v>
      </c>
      <c r="D82" s="10" t="s">
        <v>149</v>
      </c>
      <c r="E82" s="10" t="s">
        <v>106</v>
      </c>
      <c r="F82" s="10" t="s">
        <v>107</v>
      </c>
      <c r="G82" s="10" t="s">
        <v>47</v>
      </c>
      <c r="H82" s="12">
        <v>3</v>
      </c>
      <c r="I82" s="13">
        <v>299.99</v>
      </c>
      <c r="J82" s="10" t="s">
        <v>21</v>
      </c>
      <c r="K82" s="10" t="s">
        <v>22</v>
      </c>
      <c r="L82" s="10" t="s">
        <v>23</v>
      </c>
      <c r="M82" s="11">
        <v>44732</v>
      </c>
      <c r="N82" s="44">
        <v>899.97</v>
      </c>
    </row>
    <row r="83" spans="1:14" ht="15.75" customHeight="1">
      <c r="A83" s="43" t="s">
        <v>209</v>
      </c>
      <c r="B83" s="11">
        <v>45503</v>
      </c>
      <c r="C83" s="10" t="s">
        <v>87</v>
      </c>
      <c r="D83" s="10" t="s">
        <v>88</v>
      </c>
      <c r="E83" s="10" t="s">
        <v>81</v>
      </c>
      <c r="F83" s="10" t="s">
        <v>82</v>
      </c>
      <c r="G83" s="10" t="s">
        <v>20</v>
      </c>
      <c r="H83" s="12">
        <v>2</v>
      </c>
      <c r="I83" s="13">
        <v>699.99</v>
      </c>
      <c r="J83" s="10" t="s">
        <v>27</v>
      </c>
      <c r="K83" s="10" t="s">
        <v>41</v>
      </c>
      <c r="L83" s="10" t="s">
        <v>28</v>
      </c>
      <c r="M83" s="11">
        <v>44999</v>
      </c>
      <c r="N83" s="44">
        <v>1399.98</v>
      </c>
    </row>
    <row r="84" spans="1:14" ht="15.75" customHeight="1">
      <c r="A84" s="43" t="s">
        <v>210</v>
      </c>
      <c r="B84" s="11">
        <v>45504</v>
      </c>
      <c r="C84" s="10" t="s">
        <v>121</v>
      </c>
      <c r="D84" s="10" t="s">
        <v>122</v>
      </c>
      <c r="E84" s="10" t="s">
        <v>62</v>
      </c>
      <c r="F84" s="10" t="s">
        <v>63</v>
      </c>
      <c r="G84" s="10" t="s">
        <v>20</v>
      </c>
      <c r="H84" s="12">
        <v>4</v>
      </c>
      <c r="I84" s="13">
        <v>899.99</v>
      </c>
      <c r="J84" s="10" t="s">
        <v>58</v>
      </c>
      <c r="K84" s="10" t="s">
        <v>36</v>
      </c>
      <c r="L84" s="10" t="s">
        <v>37</v>
      </c>
      <c r="M84" s="11">
        <v>44523</v>
      </c>
      <c r="N84" s="44">
        <v>3599.96</v>
      </c>
    </row>
    <row r="85" spans="1:14" ht="15.75" customHeight="1">
      <c r="A85" s="43" t="s">
        <v>211</v>
      </c>
      <c r="B85" s="11">
        <v>45509</v>
      </c>
      <c r="C85" s="10" t="s">
        <v>212</v>
      </c>
      <c r="D85" s="10" t="s">
        <v>213</v>
      </c>
      <c r="E85" s="10" t="s">
        <v>45</v>
      </c>
      <c r="F85" s="10" t="s">
        <v>46</v>
      </c>
      <c r="G85" s="10" t="s">
        <v>47</v>
      </c>
      <c r="H85" s="12">
        <v>2</v>
      </c>
      <c r="I85" s="13">
        <v>149.99</v>
      </c>
      <c r="J85" s="10" t="s">
        <v>27</v>
      </c>
      <c r="K85" s="10" t="s">
        <v>51</v>
      </c>
      <c r="L85" s="10" t="s">
        <v>23</v>
      </c>
      <c r="M85" s="11">
        <v>44542</v>
      </c>
      <c r="N85" s="44">
        <v>299.98</v>
      </c>
    </row>
    <row r="86" spans="1:14" ht="15.75" customHeight="1">
      <c r="A86" s="43" t="s">
        <v>214</v>
      </c>
      <c r="B86" s="11">
        <v>45510</v>
      </c>
      <c r="C86" s="10" t="s">
        <v>103</v>
      </c>
      <c r="D86" s="10" t="s">
        <v>104</v>
      </c>
      <c r="E86" s="10" t="s">
        <v>45</v>
      </c>
      <c r="F86" s="10" t="s">
        <v>46</v>
      </c>
      <c r="G86" s="10" t="s">
        <v>47</v>
      </c>
      <c r="H86" s="12">
        <v>2</v>
      </c>
      <c r="I86" s="13">
        <v>149.99</v>
      </c>
      <c r="J86" s="10" t="s">
        <v>58</v>
      </c>
      <c r="K86" s="10" t="s">
        <v>64</v>
      </c>
      <c r="L86" s="10" t="s">
        <v>37</v>
      </c>
      <c r="M86" s="11">
        <v>44667</v>
      </c>
      <c r="N86" s="44">
        <v>299.98</v>
      </c>
    </row>
    <row r="87" spans="1:14" ht="15.75" customHeight="1">
      <c r="A87" s="43" t="s">
        <v>215</v>
      </c>
      <c r="B87" s="11">
        <v>45513</v>
      </c>
      <c r="C87" s="10" t="s">
        <v>90</v>
      </c>
      <c r="D87" s="10" t="s">
        <v>91</v>
      </c>
      <c r="E87" s="10" t="s">
        <v>118</v>
      </c>
      <c r="F87" s="10" t="s">
        <v>119</v>
      </c>
      <c r="G87" s="10" t="s">
        <v>20</v>
      </c>
      <c r="H87" s="12">
        <v>1</v>
      </c>
      <c r="I87" s="13">
        <v>89.99</v>
      </c>
      <c r="J87" s="10" t="s">
        <v>27</v>
      </c>
      <c r="K87" s="10" t="s">
        <v>41</v>
      </c>
      <c r="L87" s="10" t="s">
        <v>37</v>
      </c>
      <c r="M87" s="11">
        <v>45393</v>
      </c>
      <c r="N87" s="44">
        <v>89.99</v>
      </c>
    </row>
    <row r="88" spans="1:14" ht="15.75" customHeight="1">
      <c r="A88" s="43" t="s">
        <v>216</v>
      </c>
      <c r="B88" s="11">
        <v>45515</v>
      </c>
      <c r="C88" s="10" t="s">
        <v>87</v>
      </c>
      <c r="D88" s="10" t="s">
        <v>88</v>
      </c>
      <c r="E88" s="10" t="s">
        <v>106</v>
      </c>
      <c r="F88" s="10" t="s">
        <v>107</v>
      </c>
      <c r="G88" s="10" t="s">
        <v>47</v>
      </c>
      <c r="H88" s="12">
        <v>5</v>
      </c>
      <c r="I88" s="13">
        <v>299.99</v>
      </c>
      <c r="J88" s="10" t="s">
        <v>27</v>
      </c>
      <c r="K88" s="10" t="s">
        <v>41</v>
      </c>
      <c r="L88" s="10" t="s">
        <v>23</v>
      </c>
      <c r="M88" s="11">
        <v>44965</v>
      </c>
      <c r="N88" s="44">
        <v>1499.95</v>
      </c>
    </row>
    <row r="89" spans="1:14" ht="15.75" customHeight="1">
      <c r="A89" s="43" t="s">
        <v>217</v>
      </c>
      <c r="B89" s="11">
        <v>45517</v>
      </c>
      <c r="C89" s="10" t="s">
        <v>183</v>
      </c>
      <c r="D89" s="10" t="s">
        <v>184</v>
      </c>
      <c r="E89" s="10" t="s">
        <v>53</v>
      </c>
      <c r="F89" s="10" t="s">
        <v>54</v>
      </c>
      <c r="G89" s="10" t="s">
        <v>20</v>
      </c>
      <c r="H89" s="12">
        <v>4</v>
      </c>
      <c r="I89" s="13">
        <v>149.99</v>
      </c>
      <c r="J89" s="10" t="s">
        <v>58</v>
      </c>
      <c r="K89" s="10" t="s">
        <v>36</v>
      </c>
      <c r="L89" s="10" t="s">
        <v>28</v>
      </c>
      <c r="M89" s="11">
        <v>44820</v>
      </c>
      <c r="N89" s="44">
        <v>599.96</v>
      </c>
    </row>
    <row r="90" spans="1:14" ht="15.75" customHeight="1">
      <c r="A90" s="43" t="s">
        <v>218</v>
      </c>
      <c r="B90" s="11">
        <v>45517</v>
      </c>
      <c r="C90" s="10" t="s">
        <v>186</v>
      </c>
      <c r="D90" s="10" t="s">
        <v>187</v>
      </c>
      <c r="E90" s="10" t="s">
        <v>18</v>
      </c>
      <c r="F90" s="10" t="s">
        <v>19</v>
      </c>
      <c r="G90" s="10" t="s">
        <v>20</v>
      </c>
      <c r="H90" s="12">
        <v>5</v>
      </c>
      <c r="I90" s="13">
        <v>249.99</v>
      </c>
      <c r="J90" s="10" t="s">
        <v>35</v>
      </c>
      <c r="K90" s="10" t="s">
        <v>64</v>
      </c>
      <c r="L90" s="10" t="s">
        <v>28</v>
      </c>
      <c r="M90" s="11">
        <v>44782</v>
      </c>
      <c r="N90" s="44">
        <v>1249.95</v>
      </c>
    </row>
    <row r="91" spans="1:14" ht="15.75" customHeight="1">
      <c r="A91" s="43" t="s">
        <v>219</v>
      </c>
      <c r="B91" s="11">
        <v>45517</v>
      </c>
      <c r="C91" s="10" t="s">
        <v>66</v>
      </c>
      <c r="D91" s="10" t="s">
        <v>67</v>
      </c>
      <c r="E91" s="10" t="s">
        <v>18</v>
      </c>
      <c r="F91" s="10" t="s">
        <v>19</v>
      </c>
      <c r="G91" s="10" t="s">
        <v>20</v>
      </c>
      <c r="H91" s="12">
        <v>3</v>
      </c>
      <c r="I91" s="13">
        <v>249.99</v>
      </c>
      <c r="J91" s="10" t="s">
        <v>35</v>
      </c>
      <c r="K91" s="10" t="s">
        <v>41</v>
      </c>
      <c r="L91" s="10" t="s">
        <v>28</v>
      </c>
      <c r="M91" s="11">
        <v>44465</v>
      </c>
      <c r="N91" s="44">
        <v>749.97</v>
      </c>
    </row>
    <row r="92" spans="1:14" ht="15.75" customHeight="1">
      <c r="A92" s="43" t="s">
        <v>220</v>
      </c>
      <c r="B92" s="11">
        <v>45517</v>
      </c>
      <c r="C92" s="10" t="s">
        <v>39</v>
      </c>
      <c r="D92" s="10" t="s">
        <v>40</v>
      </c>
      <c r="E92" s="10" t="s">
        <v>127</v>
      </c>
      <c r="F92" s="10" t="s">
        <v>128</v>
      </c>
      <c r="G92" s="10" t="s">
        <v>47</v>
      </c>
      <c r="H92" s="12">
        <v>4</v>
      </c>
      <c r="I92" s="13">
        <v>199.99</v>
      </c>
      <c r="J92" s="10" t="s">
        <v>21</v>
      </c>
      <c r="K92" s="10" t="s">
        <v>41</v>
      </c>
      <c r="L92" s="10" t="s">
        <v>37</v>
      </c>
      <c r="M92" s="11">
        <v>44458</v>
      </c>
      <c r="N92" s="44">
        <v>799.96</v>
      </c>
    </row>
    <row r="93" spans="1:14" ht="15.75" customHeight="1">
      <c r="A93" s="43" t="s">
        <v>221</v>
      </c>
      <c r="B93" s="11">
        <v>45519</v>
      </c>
      <c r="C93" s="10" t="s">
        <v>159</v>
      </c>
      <c r="D93" s="10" t="s">
        <v>160</v>
      </c>
      <c r="E93" s="10" t="s">
        <v>127</v>
      </c>
      <c r="F93" s="10" t="s">
        <v>128</v>
      </c>
      <c r="G93" s="10" t="s">
        <v>47</v>
      </c>
      <c r="H93" s="12">
        <v>5</v>
      </c>
      <c r="I93" s="13">
        <v>199.99</v>
      </c>
      <c r="J93" s="10" t="s">
        <v>21</v>
      </c>
      <c r="K93" s="10" t="s">
        <v>41</v>
      </c>
      <c r="L93" s="10" t="s">
        <v>28</v>
      </c>
      <c r="M93" s="11">
        <v>44991</v>
      </c>
      <c r="N93" s="44">
        <v>999.95</v>
      </c>
    </row>
    <row r="94" spans="1:14" ht="15.75" customHeight="1">
      <c r="A94" s="43" t="s">
        <v>222</v>
      </c>
      <c r="B94" s="11">
        <v>45522</v>
      </c>
      <c r="C94" s="10" t="s">
        <v>87</v>
      </c>
      <c r="D94" s="10" t="s">
        <v>88</v>
      </c>
      <c r="E94" s="10" t="s">
        <v>118</v>
      </c>
      <c r="F94" s="10" t="s">
        <v>119</v>
      </c>
      <c r="G94" s="10" t="s">
        <v>20</v>
      </c>
      <c r="H94" s="12">
        <v>2</v>
      </c>
      <c r="I94" s="13">
        <v>89.99</v>
      </c>
      <c r="J94" s="10" t="s">
        <v>21</v>
      </c>
      <c r="K94" s="10" t="s">
        <v>64</v>
      </c>
      <c r="L94" s="10" t="s">
        <v>28</v>
      </c>
      <c r="M94" s="11">
        <v>44972</v>
      </c>
      <c r="N94" s="44">
        <v>179.98</v>
      </c>
    </row>
    <row r="95" spans="1:14" ht="15.75" customHeight="1">
      <c r="A95" s="43" t="s">
        <v>223</v>
      </c>
      <c r="B95" s="11">
        <v>45523</v>
      </c>
      <c r="C95" s="10" t="s">
        <v>197</v>
      </c>
      <c r="D95" s="10" t="s">
        <v>198</v>
      </c>
      <c r="E95" s="10" t="s">
        <v>62</v>
      </c>
      <c r="F95" s="10" t="s">
        <v>63</v>
      </c>
      <c r="G95" s="10" t="s">
        <v>20</v>
      </c>
      <c r="H95" s="12">
        <v>5</v>
      </c>
      <c r="I95" s="13">
        <v>899.99</v>
      </c>
      <c r="J95" s="10" t="s">
        <v>58</v>
      </c>
      <c r="K95" s="10" t="s">
        <v>64</v>
      </c>
      <c r="L95" s="10" t="s">
        <v>23</v>
      </c>
      <c r="M95" s="11">
        <v>44526</v>
      </c>
      <c r="N95" s="44">
        <v>4499.95</v>
      </c>
    </row>
    <row r="96" spans="1:14" ht="15.75" customHeight="1">
      <c r="A96" s="43" t="s">
        <v>224</v>
      </c>
      <c r="B96" s="11">
        <v>45523</v>
      </c>
      <c r="C96" s="10" t="s">
        <v>109</v>
      </c>
      <c r="D96" s="10" t="s">
        <v>110</v>
      </c>
      <c r="E96" s="10" t="s">
        <v>53</v>
      </c>
      <c r="F96" s="10" t="s">
        <v>54</v>
      </c>
      <c r="G96" s="10" t="s">
        <v>20</v>
      </c>
      <c r="H96" s="12">
        <v>3</v>
      </c>
      <c r="I96" s="13">
        <v>149.99</v>
      </c>
      <c r="J96" s="10" t="s">
        <v>35</v>
      </c>
      <c r="K96" s="10" t="s">
        <v>64</v>
      </c>
      <c r="L96" s="10" t="s">
        <v>23</v>
      </c>
      <c r="M96" s="11">
        <v>44574</v>
      </c>
      <c r="N96" s="44">
        <v>449.97</v>
      </c>
    </row>
    <row r="97" spans="1:14" ht="15.75" customHeight="1">
      <c r="A97" s="43" t="s">
        <v>225</v>
      </c>
      <c r="B97" s="11">
        <v>45526</v>
      </c>
      <c r="C97" s="10" t="s">
        <v>103</v>
      </c>
      <c r="D97" s="10" t="s">
        <v>104</v>
      </c>
      <c r="E97" s="10" t="s">
        <v>45</v>
      </c>
      <c r="F97" s="10" t="s">
        <v>46</v>
      </c>
      <c r="G97" s="10" t="s">
        <v>47</v>
      </c>
      <c r="H97" s="12">
        <v>5</v>
      </c>
      <c r="I97" s="13">
        <v>149.99</v>
      </c>
      <c r="J97" s="10" t="s">
        <v>27</v>
      </c>
      <c r="K97" s="10" t="s">
        <v>22</v>
      </c>
      <c r="L97" s="10" t="s">
        <v>23</v>
      </c>
      <c r="M97" s="11">
        <v>45310</v>
      </c>
      <c r="N97" s="44">
        <v>749.95</v>
      </c>
    </row>
    <row r="98" spans="1:14" ht="15.75" customHeight="1">
      <c r="A98" s="43" t="s">
        <v>226</v>
      </c>
      <c r="B98" s="11">
        <v>45528</v>
      </c>
      <c r="C98" s="10" t="s">
        <v>227</v>
      </c>
      <c r="D98" s="10" t="s">
        <v>228</v>
      </c>
      <c r="E98" s="10" t="s">
        <v>115</v>
      </c>
      <c r="F98" s="10" t="s">
        <v>116</v>
      </c>
      <c r="G98" s="10" t="s">
        <v>34</v>
      </c>
      <c r="H98" s="12">
        <v>3</v>
      </c>
      <c r="I98" s="13">
        <v>79.989999999999995</v>
      </c>
      <c r="J98" s="10" t="s">
        <v>21</v>
      </c>
      <c r="K98" s="10" t="s">
        <v>22</v>
      </c>
      <c r="L98" s="10" t="s">
        <v>28</v>
      </c>
      <c r="M98" s="11">
        <v>44779</v>
      </c>
      <c r="N98" s="44">
        <v>239.97</v>
      </c>
    </row>
    <row r="99" spans="1:14" ht="15.75" customHeight="1">
      <c r="A99" s="43" t="s">
        <v>229</v>
      </c>
      <c r="B99" s="11">
        <v>45528</v>
      </c>
      <c r="C99" s="10" t="s">
        <v>145</v>
      </c>
      <c r="D99" s="10" t="s">
        <v>146</v>
      </c>
      <c r="E99" s="10" t="s">
        <v>18</v>
      </c>
      <c r="F99" s="10" t="s">
        <v>19</v>
      </c>
      <c r="G99" s="10" t="s">
        <v>20</v>
      </c>
      <c r="H99" s="12">
        <v>2</v>
      </c>
      <c r="I99" s="13">
        <v>249.99</v>
      </c>
      <c r="J99" s="10" t="s">
        <v>21</v>
      </c>
      <c r="K99" s="10" t="s">
        <v>36</v>
      </c>
      <c r="L99" s="10" t="s">
        <v>37</v>
      </c>
      <c r="M99" s="11">
        <v>44572</v>
      </c>
      <c r="N99" s="44">
        <v>499.98</v>
      </c>
    </row>
    <row r="100" spans="1:14" ht="15.75" customHeight="1">
      <c r="A100" s="43" t="s">
        <v>230</v>
      </c>
      <c r="B100" s="11">
        <v>45532</v>
      </c>
      <c r="C100" s="10" t="s">
        <v>197</v>
      </c>
      <c r="D100" s="10" t="s">
        <v>198</v>
      </c>
      <c r="E100" s="10" t="s">
        <v>81</v>
      </c>
      <c r="F100" s="10" t="s">
        <v>82</v>
      </c>
      <c r="G100" s="10" t="s">
        <v>20</v>
      </c>
      <c r="H100" s="12">
        <v>1</v>
      </c>
      <c r="I100" s="13">
        <v>699.99</v>
      </c>
      <c r="J100" s="10" t="s">
        <v>21</v>
      </c>
      <c r="K100" s="10" t="s">
        <v>22</v>
      </c>
      <c r="L100" s="10" t="s">
        <v>28</v>
      </c>
      <c r="M100" s="11">
        <v>44497</v>
      </c>
      <c r="N100" s="44">
        <v>699.99</v>
      </c>
    </row>
    <row r="101" spans="1:14" ht="15.75" customHeight="1">
      <c r="A101" s="43" t="s">
        <v>231</v>
      </c>
      <c r="B101" s="11">
        <v>45532</v>
      </c>
      <c r="C101" s="10" t="s">
        <v>232</v>
      </c>
      <c r="D101" s="10" t="s">
        <v>233</v>
      </c>
      <c r="E101" s="10" t="s">
        <v>53</v>
      </c>
      <c r="F101" s="10" t="s">
        <v>54</v>
      </c>
      <c r="G101" s="10" t="s">
        <v>20</v>
      </c>
      <c r="H101" s="12">
        <v>3</v>
      </c>
      <c r="I101" s="13">
        <v>149.99</v>
      </c>
      <c r="J101" s="10" t="s">
        <v>21</v>
      </c>
      <c r="K101" s="10" t="s">
        <v>51</v>
      </c>
      <c r="L101" s="10" t="s">
        <v>28</v>
      </c>
      <c r="M101" s="11">
        <v>45212</v>
      </c>
      <c r="N101" s="44">
        <v>449.97</v>
      </c>
    </row>
    <row r="102" spans="1:14" ht="15.75" customHeight="1">
      <c r="A102" s="43" t="s">
        <v>234</v>
      </c>
      <c r="B102" s="11">
        <v>45534</v>
      </c>
      <c r="C102" s="10" t="s">
        <v>235</v>
      </c>
      <c r="D102" s="10" t="s">
        <v>236</v>
      </c>
      <c r="E102" s="10" t="s">
        <v>81</v>
      </c>
      <c r="F102" s="10" t="s">
        <v>82</v>
      </c>
      <c r="G102" s="10" t="s">
        <v>20</v>
      </c>
      <c r="H102" s="12">
        <v>2</v>
      </c>
      <c r="I102" s="13">
        <v>699.99</v>
      </c>
      <c r="J102" s="10" t="s">
        <v>27</v>
      </c>
      <c r="K102" s="10" t="s">
        <v>41</v>
      </c>
      <c r="L102" s="10" t="s">
        <v>28</v>
      </c>
      <c r="M102" s="11">
        <v>44421</v>
      </c>
      <c r="N102" s="44">
        <v>1399.98</v>
      </c>
    </row>
    <row r="103" spans="1:14" ht="15.75" customHeight="1">
      <c r="A103" s="43" t="s">
        <v>237</v>
      </c>
      <c r="B103" s="11">
        <v>45537</v>
      </c>
      <c r="C103" s="10" t="s">
        <v>232</v>
      </c>
      <c r="D103" s="10" t="s">
        <v>233</v>
      </c>
      <c r="E103" s="10" t="s">
        <v>18</v>
      </c>
      <c r="F103" s="10" t="s">
        <v>19</v>
      </c>
      <c r="G103" s="10" t="s">
        <v>20</v>
      </c>
      <c r="H103" s="12">
        <v>1</v>
      </c>
      <c r="I103" s="13">
        <v>249.99</v>
      </c>
      <c r="J103" s="10" t="s">
        <v>27</v>
      </c>
      <c r="K103" s="10" t="s">
        <v>51</v>
      </c>
      <c r="L103" s="10" t="s">
        <v>28</v>
      </c>
      <c r="M103" s="11">
        <v>44685</v>
      </c>
      <c r="N103" s="44">
        <v>249.99</v>
      </c>
    </row>
    <row r="104" spans="1:14" ht="15.75" customHeight="1">
      <c r="A104" s="43" t="s">
        <v>238</v>
      </c>
      <c r="B104" s="11">
        <v>45537</v>
      </c>
      <c r="C104" s="10" t="s">
        <v>16</v>
      </c>
      <c r="D104" s="10" t="s">
        <v>17</v>
      </c>
      <c r="E104" s="10" t="s">
        <v>18</v>
      </c>
      <c r="F104" s="10" t="s">
        <v>19</v>
      </c>
      <c r="G104" s="10" t="s">
        <v>20</v>
      </c>
      <c r="H104" s="12">
        <v>1</v>
      </c>
      <c r="I104" s="13">
        <v>249.99</v>
      </c>
      <c r="J104" s="10" t="s">
        <v>58</v>
      </c>
      <c r="K104" s="10" t="s">
        <v>41</v>
      </c>
      <c r="L104" s="10" t="s">
        <v>28</v>
      </c>
      <c r="M104" s="11">
        <v>45332</v>
      </c>
      <c r="N104" s="44">
        <v>249.99</v>
      </c>
    </row>
    <row r="105" spans="1:14" ht="15.75" customHeight="1">
      <c r="A105" s="43" t="s">
        <v>239</v>
      </c>
      <c r="B105" s="11">
        <v>45538</v>
      </c>
      <c r="C105" s="10" t="s">
        <v>227</v>
      </c>
      <c r="D105" s="10" t="s">
        <v>228</v>
      </c>
      <c r="E105" s="10" t="s">
        <v>81</v>
      </c>
      <c r="F105" s="10" t="s">
        <v>82</v>
      </c>
      <c r="G105" s="10" t="s">
        <v>20</v>
      </c>
      <c r="H105" s="12">
        <v>2</v>
      </c>
      <c r="I105" s="13">
        <v>699.99</v>
      </c>
      <c r="J105" s="10" t="s">
        <v>58</v>
      </c>
      <c r="K105" s="10" t="s">
        <v>22</v>
      </c>
      <c r="L105" s="10" t="s">
        <v>28</v>
      </c>
      <c r="M105" s="11">
        <v>44870</v>
      </c>
      <c r="N105" s="44">
        <v>1399.98</v>
      </c>
    </row>
    <row r="106" spans="1:14" ht="15.75" customHeight="1">
      <c r="A106" s="43" t="s">
        <v>240</v>
      </c>
      <c r="B106" s="11">
        <v>45541</v>
      </c>
      <c r="C106" s="10" t="s">
        <v>139</v>
      </c>
      <c r="D106" s="10" t="s">
        <v>140</v>
      </c>
      <c r="E106" s="10" t="s">
        <v>32</v>
      </c>
      <c r="F106" s="10" t="s">
        <v>33</v>
      </c>
      <c r="G106" s="10" t="s">
        <v>34</v>
      </c>
      <c r="H106" s="12">
        <v>3</v>
      </c>
      <c r="I106" s="13">
        <v>59.99</v>
      </c>
      <c r="J106" s="10" t="s">
        <v>27</v>
      </c>
      <c r="K106" s="10" t="s">
        <v>22</v>
      </c>
      <c r="L106" s="10" t="s">
        <v>28</v>
      </c>
      <c r="M106" s="11">
        <v>44717</v>
      </c>
      <c r="N106" s="44">
        <v>179.97</v>
      </c>
    </row>
    <row r="107" spans="1:14" ht="15.75" customHeight="1">
      <c r="A107" s="43" t="s">
        <v>241</v>
      </c>
      <c r="B107" s="11">
        <v>45544</v>
      </c>
      <c r="C107" s="10" t="s">
        <v>133</v>
      </c>
      <c r="D107" s="10" t="s">
        <v>134</v>
      </c>
      <c r="E107" s="10" t="s">
        <v>32</v>
      </c>
      <c r="F107" s="10" t="s">
        <v>33</v>
      </c>
      <c r="G107" s="10" t="s">
        <v>34</v>
      </c>
      <c r="H107" s="12">
        <v>3</v>
      </c>
      <c r="I107" s="13">
        <v>59.99</v>
      </c>
      <c r="J107" s="10" t="s">
        <v>35</v>
      </c>
      <c r="K107" s="10" t="s">
        <v>64</v>
      </c>
      <c r="L107" s="10" t="s">
        <v>37</v>
      </c>
      <c r="M107" s="11">
        <v>44748</v>
      </c>
      <c r="N107" s="44">
        <v>179.97</v>
      </c>
    </row>
    <row r="108" spans="1:14" ht="15.75" customHeight="1">
      <c r="A108" s="43" t="s">
        <v>242</v>
      </c>
      <c r="B108" s="11">
        <v>45544</v>
      </c>
      <c r="C108" s="10" t="s">
        <v>142</v>
      </c>
      <c r="D108" s="10" t="s">
        <v>143</v>
      </c>
      <c r="E108" s="10" t="s">
        <v>115</v>
      </c>
      <c r="F108" s="10" t="s">
        <v>116</v>
      </c>
      <c r="G108" s="10" t="s">
        <v>34</v>
      </c>
      <c r="H108" s="12">
        <v>4</v>
      </c>
      <c r="I108" s="13">
        <v>79.989999999999995</v>
      </c>
      <c r="J108" s="10" t="s">
        <v>21</v>
      </c>
      <c r="K108" s="10" t="s">
        <v>41</v>
      </c>
      <c r="L108" s="10" t="s">
        <v>23</v>
      </c>
      <c r="M108" s="11">
        <v>44530</v>
      </c>
      <c r="N108" s="44">
        <v>319.95999999999998</v>
      </c>
    </row>
    <row r="109" spans="1:14" ht="15.75" customHeight="1">
      <c r="A109" s="43" t="s">
        <v>243</v>
      </c>
      <c r="B109" s="11">
        <v>45545</v>
      </c>
      <c r="C109" s="10" t="s">
        <v>56</v>
      </c>
      <c r="D109" s="10" t="s">
        <v>57</v>
      </c>
      <c r="E109" s="10" t="s">
        <v>115</v>
      </c>
      <c r="F109" s="10" t="s">
        <v>116</v>
      </c>
      <c r="G109" s="10" t="s">
        <v>34</v>
      </c>
      <c r="H109" s="12">
        <v>1</v>
      </c>
      <c r="I109" s="13">
        <v>79.989999999999995</v>
      </c>
      <c r="J109" s="10" t="s">
        <v>21</v>
      </c>
      <c r="K109" s="10" t="s">
        <v>51</v>
      </c>
      <c r="L109" s="10" t="s">
        <v>23</v>
      </c>
      <c r="M109" s="11">
        <v>44693</v>
      </c>
      <c r="N109" s="44">
        <v>79.989999999999995</v>
      </c>
    </row>
    <row r="110" spans="1:14" ht="15.75" customHeight="1">
      <c r="A110" s="43" t="s">
        <v>244</v>
      </c>
      <c r="B110" s="11">
        <v>45547</v>
      </c>
      <c r="C110" s="10" t="s">
        <v>49</v>
      </c>
      <c r="D110" s="10" t="s">
        <v>50</v>
      </c>
      <c r="E110" s="10" t="s">
        <v>106</v>
      </c>
      <c r="F110" s="10" t="s">
        <v>107</v>
      </c>
      <c r="G110" s="10" t="s">
        <v>47</v>
      </c>
      <c r="H110" s="12">
        <v>3</v>
      </c>
      <c r="I110" s="13">
        <v>299.99</v>
      </c>
      <c r="J110" s="10" t="s">
        <v>27</v>
      </c>
      <c r="K110" s="10" t="s">
        <v>22</v>
      </c>
      <c r="L110" s="10" t="s">
        <v>28</v>
      </c>
      <c r="M110" s="11">
        <v>44494</v>
      </c>
      <c r="N110" s="44">
        <v>899.97</v>
      </c>
    </row>
    <row r="111" spans="1:14" ht="15.75" customHeight="1">
      <c r="A111" s="43" t="s">
        <v>245</v>
      </c>
      <c r="B111" s="11">
        <v>45548</v>
      </c>
      <c r="C111" s="10" t="s">
        <v>39</v>
      </c>
      <c r="D111" s="10" t="s">
        <v>40</v>
      </c>
      <c r="E111" s="10" t="s">
        <v>118</v>
      </c>
      <c r="F111" s="10" t="s">
        <v>119</v>
      </c>
      <c r="G111" s="10" t="s">
        <v>20</v>
      </c>
      <c r="H111" s="12">
        <v>2</v>
      </c>
      <c r="I111" s="13">
        <v>89.99</v>
      </c>
      <c r="J111" s="10" t="s">
        <v>27</v>
      </c>
      <c r="K111" s="10" t="s">
        <v>36</v>
      </c>
      <c r="L111" s="10" t="s">
        <v>28</v>
      </c>
      <c r="M111" s="11">
        <v>44641</v>
      </c>
      <c r="N111" s="44">
        <v>179.98</v>
      </c>
    </row>
    <row r="112" spans="1:14" ht="15.75" customHeight="1">
      <c r="A112" s="43" t="s">
        <v>246</v>
      </c>
      <c r="B112" s="11">
        <v>45550</v>
      </c>
      <c r="C112" s="10" t="s">
        <v>247</v>
      </c>
      <c r="D112" s="10" t="s">
        <v>248</v>
      </c>
      <c r="E112" s="10" t="s">
        <v>53</v>
      </c>
      <c r="F112" s="10" t="s">
        <v>54</v>
      </c>
      <c r="G112" s="10" t="s">
        <v>20</v>
      </c>
      <c r="H112" s="12">
        <v>4</v>
      </c>
      <c r="I112" s="13">
        <v>149.99</v>
      </c>
      <c r="J112" s="10" t="s">
        <v>21</v>
      </c>
      <c r="K112" s="10" t="s">
        <v>41</v>
      </c>
      <c r="L112" s="10" t="s">
        <v>23</v>
      </c>
      <c r="M112" s="11">
        <v>44909</v>
      </c>
      <c r="N112" s="44">
        <v>599.96</v>
      </c>
    </row>
    <row r="113" spans="1:14" ht="15.75" customHeight="1">
      <c r="A113" s="43" t="s">
        <v>249</v>
      </c>
      <c r="B113" s="11">
        <v>45551</v>
      </c>
      <c r="C113" s="10" t="s">
        <v>66</v>
      </c>
      <c r="D113" s="10" t="s">
        <v>67</v>
      </c>
      <c r="E113" s="10" t="s">
        <v>18</v>
      </c>
      <c r="F113" s="10" t="s">
        <v>19</v>
      </c>
      <c r="G113" s="10" t="s">
        <v>20</v>
      </c>
      <c r="H113" s="12">
        <v>2</v>
      </c>
      <c r="I113" s="13">
        <v>249.99</v>
      </c>
      <c r="J113" s="10" t="s">
        <v>35</v>
      </c>
      <c r="K113" s="10" t="s">
        <v>36</v>
      </c>
      <c r="L113" s="10" t="s">
        <v>23</v>
      </c>
      <c r="M113" s="11">
        <v>44993</v>
      </c>
      <c r="N113" s="44">
        <v>499.98</v>
      </c>
    </row>
    <row r="114" spans="1:14" ht="15.75" customHeight="1">
      <c r="A114" s="43" t="s">
        <v>250</v>
      </c>
      <c r="B114" s="11">
        <v>45551</v>
      </c>
      <c r="C114" s="10" t="s">
        <v>155</v>
      </c>
      <c r="D114" s="10" t="s">
        <v>156</v>
      </c>
      <c r="E114" s="10" t="s">
        <v>127</v>
      </c>
      <c r="F114" s="10" t="s">
        <v>128</v>
      </c>
      <c r="G114" s="10" t="s">
        <v>47</v>
      </c>
      <c r="H114" s="12">
        <v>4</v>
      </c>
      <c r="I114" s="13">
        <v>199.99</v>
      </c>
      <c r="J114" s="10" t="s">
        <v>58</v>
      </c>
      <c r="K114" s="10" t="s">
        <v>64</v>
      </c>
      <c r="L114" s="10" t="s">
        <v>23</v>
      </c>
      <c r="M114" s="11">
        <v>44458</v>
      </c>
      <c r="N114" s="44">
        <v>799.96</v>
      </c>
    </row>
    <row r="115" spans="1:14" ht="15.75" customHeight="1">
      <c r="A115" s="43" t="s">
        <v>251</v>
      </c>
      <c r="B115" s="11">
        <v>45554</v>
      </c>
      <c r="C115" s="10" t="s">
        <v>148</v>
      </c>
      <c r="D115" s="10" t="s">
        <v>149</v>
      </c>
      <c r="E115" s="10" t="s">
        <v>118</v>
      </c>
      <c r="F115" s="10" t="s">
        <v>119</v>
      </c>
      <c r="G115" s="10" t="s">
        <v>20</v>
      </c>
      <c r="H115" s="12">
        <v>5</v>
      </c>
      <c r="I115" s="13">
        <v>89.99</v>
      </c>
      <c r="J115" s="10" t="s">
        <v>27</v>
      </c>
      <c r="K115" s="10" t="s">
        <v>64</v>
      </c>
      <c r="L115" s="10" t="s">
        <v>28</v>
      </c>
      <c r="M115" s="11">
        <v>44446</v>
      </c>
      <c r="N115" s="44">
        <v>449.95</v>
      </c>
    </row>
    <row r="116" spans="1:14" ht="15.75" customHeight="1">
      <c r="A116" s="43" t="s">
        <v>252</v>
      </c>
      <c r="B116" s="11">
        <v>45554</v>
      </c>
      <c r="C116" s="10" t="s">
        <v>253</v>
      </c>
      <c r="D116" s="10" t="s">
        <v>254</v>
      </c>
      <c r="E116" s="10" t="s">
        <v>53</v>
      </c>
      <c r="F116" s="10" t="s">
        <v>54</v>
      </c>
      <c r="G116" s="10" t="s">
        <v>20</v>
      </c>
      <c r="H116" s="12">
        <v>1</v>
      </c>
      <c r="I116" s="13">
        <v>149.99</v>
      </c>
      <c r="J116" s="10" t="s">
        <v>35</v>
      </c>
      <c r="K116" s="10" t="s">
        <v>64</v>
      </c>
      <c r="L116" s="10" t="s">
        <v>37</v>
      </c>
      <c r="M116" s="11">
        <v>44482</v>
      </c>
      <c r="N116" s="44">
        <v>149.99</v>
      </c>
    </row>
    <row r="117" spans="1:14" ht="15.75" customHeight="1">
      <c r="A117" s="43" t="s">
        <v>255</v>
      </c>
      <c r="B117" s="11">
        <v>45554</v>
      </c>
      <c r="C117" s="10" t="s">
        <v>73</v>
      </c>
      <c r="D117" s="10" t="s">
        <v>74</v>
      </c>
      <c r="E117" s="10" t="s">
        <v>81</v>
      </c>
      <c r="F117" s="10" t="s">
        <v>82</v>
      </c>
      <c r="G117" s="10" t="s">
        <v>20</v>
      </c>
      <c r="H117" s="12">
        <v>4</v>
      </c>
      <c r="I117" s="13">
        <v>699.99</v>
      </c>
      <c r="J117" s="10" t="s">
        <v>35</v>
      </c>
      <c r="K117" s="10" t="s">
        <v>36</v>
      </c>
      <c r="L117" s="10" t="s">
        <v>23</v>
      </c>
      <c r="M117" s="11">
        <v>44618</v>
      </c>
      <c r="N117" s="44">
        <v>2799.96</v>
      </c>
    </row>
    <row r="118" spans="1:14" ht="15.75" customHeight="1">
      <c r="A118" s="43" t="s">
        <v>256</v>
      </c>
      <c r="B118" s="11">
        <v>45559</v>
      </c>
      <c r="C118" s="10" t="s">
        <v>235</v>
      </c>
      <c r="D118" s="10" t="s">
        <v>236</v>
      </c>
      <c r="E118" s="10" t="s">
        <v>62</v>
      </c>
      <c r="F118" s="10" t="s">
        <v>63</v>
      </c>
      <c r="G118" s="10" t="s">
        <v>20</v>
      </c>
      <c r="H118" s="12">
        <v>3</v>
      </c>
      <c r="I118" s="13">
        <v>899.99</v>
      </c>
      <c r="J118" s="10" t="s">
        <v>27</v>
      </c>
      <c r="K118" s="10" t="s">
        <v>41</v>
      </c>
      <c r="L118" s="10" t="s">
        <v>37</v>
      </c>
      <c r="M118" s="11">
        <v>45157</v>
      </c>
      <c r="N118" s="44">
        <v>2699.97</v>
      </c>
    </row>
    <row r="119" spans="1:14" ht="15.75" customHeight="1">
      <c r="A119" s="43" t="s">
        <v>257</v>
      </c>
      <c r="B119" s="11">
        <v>45560</v>
      </c>
      <c r="C119" s="10" t="s">
        <v>113</v>
      </c>
      <c r="D119" s="10" t="s">
        <v>114</v>
      </c>
      <c r="E119" s="10" t="s">
        <v>45</v>
      </c>
      <c r="F119" s="10" t="s">
        <v>46</v>
      </c>
      <c r="G119" s="10" t="s">
        <v>47</v>
      </c>
      <c r="H119" s="12">
        <v>3</v>
      </c>
      <c r="I119" s="13">
        <v>149.99</v>
      </c>
      <c r="J119" s="10" t="s">
        <v>35</v>
      </c>
      <c r="K119" s="10" t="s">
        <v>64</v>
      </c>
      <c r="L119" s="10" t="s">
        <v>23</v>
      </c>
      <c r="M119" s="11">
        <v>44886</v>
      </c>
      <c r="N119" s="44">
        <v>449.97</v>
      </c>
    </row>
    <row r="120" spans="1:14" ht="15.75" customHeight="1">
      <c r="A120" s="43" t="s">
        <v>258</v>
      </c>
      <c r="B120" s="11">
        <v>45563</v>
      </c>
      <c r="C120" s="10" t="s">
        <v>100</v>
      </c>
      <c r="D120" s="10" t="s">
        <v>101</v>
      </c>
      <c r="E120" s="10" t="s">
        <v>106</v>
      </c>
      <c r="F120" s="10" t="s">
        <v>107</v>
      </c>
      <c r="G120" s="10" t="s">
        <v>47</v>
      </c>
      <c r="H120" s="12">
        <v>2</v>
      </c>
      <c r="I120" s="13">
        <v>299.99</v>
      </c>
      <c r="J120" s="10" t="s">
        <v>58</v>
      </c>
      <c r="K120" s="10" t="s">
        <v>22</v>
      </c>
      <c r="L120" s="10" t="s">
        <v>23</v>
      </c>
      <c r="M120" s="11">
        <v>44569</v>
      </c>
      <c r="N120" s="44">
        <v>599.98</v>
      </c>
    </row>
    <row r="121" spans="1:14" ht="15.75" customHeight="1">
      <c r="A121" s="43" t="s">
        <v>259</v>
      </c>
      <c r="B121" s="11">
        <v>45564</v>
      </c>
      <c r="C121" s="10" t="s">
        <v>260</v>
      </c>
      <c r="D121" s="10" t="s">
        <v>261</v>
      </c>
      <c r="E121" s="10" t="s">
        <v>127</v>
      </c>
      <c r="F121" s="10" t="s">
        <v>128</v>
      </c>
      <c r="G121" s="10" t="s">
        <v>47</v>
      </c>
      <c r="H121" s="12">
        <v>1</v>
      </c>
      <c r="I121" s="13">
        <v>199.99</v>
      </c>
      <c r="J121" s="10" t="s">
        <v>58</v>
      </c>
      <c r="K121" s="10" t="s">
        <v>64</v>
      </c>
      <c r="L121" s="10" t="s">
        <v>37</v>
      </c>
      <c r="M121" s="11">
        <v>44953</v>
      </c>
      <c r="N121" s="44">
        <v>199.99</v>
      </c>
    </row>
    <row r="122" spans="1:14" ht="15.75" customHeight="1">
      <c r="A122" s="43" t="s">
        <v>262</v>
      </c>
      <c r="B122" s="11">
        <v>45566</v>
      </c>
      <c r="C122" s="10" t="s">
        <v>43</v>
      </c>
      <c r="D122" s="10" t="s">
        <v>44</v>
      </c>
      <c r="E122" s="10" t="s">
        <v>106</v>
      </c>
      <c r="F122" s="10" t="s">
        <v>107</v>
      </c>
      <c r="G122" s="10" t="s">
        <v>47</v>
      </c>
      <c r="H122" s="12">
        <v>4</v>
      </c>
      <c r="I122" s="13">
        <v>299.99</v>
      </c>
      <c r="J122" s="10" t="s">
        <v>21</v>
      </c>
      <c r="K122" s="10" t="s">
        <v>22</v>
      </c>
      <c r="L122" s="10" t="s">
        <v>28</v>
      </c>
      <c r="M122" s="11">
        <v>44460</v>
      </c>
      <c r="N122" s="44">
        <v>1199.96</v>
      </c>
    </row>
    <row r="123" spans="1:14" ht="15.75" customHeight="1">
      <c r="A123" s="43" t="s">
        <v>263</v>
      </c>
      <c r="B123" s="11">
        <v>45572</v>
      </c>
      <c r="C123" s="10" t="s">
        <v>90</v>
      </c>
      <c r="D123" s="10" t="s">
        <v>91</v>
      </c>
      <c r="E123" s="10" t="s">
        <v>32</v>
      </c>
      <c r="F123" s="10" t="s">
        <v>33</v>
      </c>
      <c r="G123" s="10" t="s">
        <v>34</v>
      </c>
      <c r="H123" s="12">
        <v>2</v>
      </c>
      <c r="I123" s="13">
        <v>59.99</v>
      </c>
      <c r="J123" s="10" t="s">
        <v>27</v>
      </c>
      <c r="K123" s="10" t="s">
        <v>22</v>
      </c>
      <c r="L123" s="10" t="s">
        <v>23</v>
      </c>
      <c r="M123" s="11">
        <v>44579</v>
      </c>
      <c r="N123" s="44">
        <v>119.98</v>
      </c>
    </row>
    <row r="124" spans="1:14" ht="15.75" customHeight="1">
      <c r="A124" s="43" t="s">
        <v>264</v>
      </c>
      <c r="B124" s="11">
        <v>45572</v>
      </c>
      <c r="C124" s="10" t="s">
        <v>235</v>
      </c>
      <c r="D124" s="10" t="s">
        <v>236</v>
      </c>
      <c r="E124" s="10" t="s">
        <v>53</v>
      </c>
      <c r="F124" s="10" t="s">
        <v>54</v>
      </c>
      <c r="G124" s="10" t="s">
        <v>20</v>
      </c>
      <c r="H124" s="12">
        <v>4</v>
      </c>
      <c r="I124" s="13">
        <v>149.99</v>
      </c>
      <c r="J124" s="10" t="s">
        <v>27</v>
      </c>
      <c r="K124" s="10" t="s">
        <v>41</v>
      </c>
      <c r="L124" s="10" t="s">
        <v>28</v>
      </c>
      <c r="M124" s="11">
        <v>45076</v>
      </c>
      <c r="N124" s="44">
        <v>599.96</v>
      </c>
    </row>
    <row r="125" spans="1:14" ht="15.75" customHeight="1">
      <c r="A125" s="43" t="s">
        <v>265</v>
      </c>
      <c r="B125" s="11">
        <v>45573</v>
      </c>
      <c r="C125" s="10" t="s">
        <v>212</v>
      </c>
      <c r="D125" s="10" t="s">
        <v>213</v>
      </c>
      <c r="E125" s="10" t="s">
        <v>81</v>
      </c>
      <c r="F125" s="10" t="s">
        <v>82</v>
      </c>
      <c r="G125" s="10" t="s">
        <v>20</v>
      </c>
      <c r="H125" s="12">
        <v>2</v>
      </c>
      <c r="I125" s="13">
        <v>699.99</v>
      </c>
      <c r="J125" s="10" t="s">
        <v>58</v>
      </c>
      <c r="K125" s="10" t="s">
        <v>64</v>
      </c>
      <c r="L125" s="10" t="s">
        <v>28</v>
      </c>
      <c r="M125" s="11">
        <v>45274</v>
      </c>
      <c r="N125" s="44">
        <v>1399.98</v>
      </c>
    </row>
    <row r="126" spans="1:14" ht="15.75" customHeight="1">
      <c r="A126" s="43" t="s">
        <v>266</v>
      </c>
      <c r="B126" s="11">
        <v>45573</v>
      </c>
      <c r="C126" s="10" t="s">
        <v>232</v>
      </c>
      <c r="D126" s="10" t="s">
        <v>233</v>
      </c>
      <c r="E126" s="10" t="s">
        <v>45</v>
      </c>
      <c r="F126" s="10" t="s">
        <v>46</v>
      </c>
      <c r="G126" s="10" t="s">
        <v>47</v>
      </c>
      <c r="H126" s="12">
        <v>3</v>
      </c>
      <c r="I126" s="13">
        <v>149.99</v>
      </c>
      <c r="J126" s="10" t="s">
        <v>27</v>
      </c>
      <c r="K126" s="10" t="s">
        <v>36</v>
      </c>
      <c r="L126" s="10" t="s">
        <v>37</v>
      </c>
      <c r="M126" s="11">
        <v>44940</v>
      </c>
      <c r="N126" s="44">
        <v>449.97</v>
      </c>
    </row>
    <row r="127" spans="1:14" ht="15.75" customHeight="1">
      <c r="A127" s="43" t="s">
        <v>267</v>
      </c>
      <c r="B127" s="11">
        <v>45576</v>
      </c>
      <c r="C127" s="10" t="s">
        <v>148</v>
      </c>
      <c r="D127" s="10" t="s">
        <v>149</v>
      </c>
      <c r="E127" s="10" t="s">
        <v>106</v>
      </c>
      <c r="F127" s="10" t="s">
        <v>107</v>
      </c>
      <c r="G127" s="10" t="s">
        <v>47</v>
      </c>
      <c r="H127" s="12">
        <v>3</v>
      </c>
      <c r="I127" s="13">
        <v>299.99</v>
      </c>
      <c r="J127" s="10" t="s">
        <v>27</v>
      </c>
      <c r="K127" s="10" t="s">
        <v>22</v>
      </c>
      <c r="L127" s="10" t="s">
        <v>37</v>
      </c>
      <c r="M127" s="11">
        <v>45174</v>
      </c>
      <c r="N127" s="44">
        <v>899.97</v>
      </c>
    </row>
    <row r="128" spans="1:14" ht="15.75" customHeight="1">
      <c r="A128" s="43" t="s">
        <v>268</v>
      </c>
      <c r="B128" s="11">
        <v>45579</v>
      </c>
      <c r="C128" s="10" t="s">
        <v>84</v>
      </c>
      <c r="D128" s="10" t="s">
        <v>85</v>
      </c>
      <c r="E128" s="10" t="s">
        <v>62</v>
      </c>
      <c r="F128" s="10" t="s">
        <v>63</v>
      </c>
      <c r="G128" s="10" t="s">
        <v>20</v>
      </c>
      <c r="H128" s="12">
        <v>3</v>
      </c>
      <c r="I128" s="13">
        <v>899.99</v>
      </c>
      <c r="J128" s="10" t="s">
        <v>35</v>
      </c>
      <c r="K128" s="10" t="s">
        <v>51</v>
      </c>
      <c r="L128" s="10" t="s">
        <v>23</v>
      </c>
      <c r="M128" s="11">
        <v>45215</v>
      </c>
      <c r="N128" s="44">
        <v>2699.97</v>
      </c>
    </row>
    <row r="129" spans="1:14" ht="15.75" customHeight="1">
      <c r="A129" s="43" t="s">
        <v>269</v>
      </c>
      <c r="B129" s="11">
        <v>45581</v>
      </c>
      <c r="C129" s="10" t="s">
        <v>97</v>
      </c>
      <c r="D129" s="10" t="s">
        <v>98</v>
      </c>
      <c r="E129" s="10" t="s">
        <v>81</v>
      </c>
      <c r="F129" s="10" t="s">
        <v>82</v>
      </c>
      <c r="G129" s="10" t="s">
        <v>20</v>
      </c>
      <c r="H129" s="12">
        <v>5</v>
      </c>
      <c r="I129" s="13">
        <v>699.99</v>
      </c>
      <c r="J129" s="10" t="s">
        <v>21</v>
      </c>
      <c r="K129" s="10" t="s">
        <v>64</v>
      </c>
      <c r="L129" s="10" t="s">
        <v>37</v>
      </c>
      <c r="M129" s="11">
        <v>45008</v>
      </c>
      <c r="N129" s="44">
        <v>3499.95</v>
      </c>
    </row>
    <row r="130" spans="1:14" ht="15.75" customHeight="1">
      <c r="A130" s="43" t="s">
        <v>270</v>
      </c>
      <c r="B130" s="11">
        <v>45581</v>
      </c>
      <c r="C130" s="10" t="s">
        <v>172</v>
      </c>
      <c r="D130" s="10" t="s">
        <v>173</v>
      </c>
      <c r="E130" s="10" t="s">
        <v>81</v>
      </c>
      <c r="F130" s="10" t="s">
        <v>82</v>
      </c>
      <c r="G130" s="10" t="s">
        <v>20</v>
      </c>
      <c r="H130" s="12">
        <v>4</v>
      </c>
      <c r="I130" s="13">
        <v>699.99</v>
      </c>
      <c r="J130" s="10" t="s">
        <v>27</v>
      </c>
      <c r="K130" s="10" t="s">
        <v>22</v>
      </c>
      <c r="L130" s="10" t="s">
        <v>23</v>
      </c>
      <c r="M130" s="11">
        <v>45385</v>
      </c>
      <c r="N130" s="44">
        <v>2799.96</v>
      </c>
    </row>
    <row r="131" spans="1:14" ht="15.75" customHeight="1">
      <c r="A131" s="43" t="s">
        <v>271</v>
      </c>
      <c r="B131" s="11">
        <v>45581</v>
      </c>
      <c r="C131" s="10" t="s">
        <v>151</v>
      </c>
      <c r="D131" s="10" t="s">
        <v>152</v>
      </c>
      <c r="E131" s="10" t="s">
        <v>62</v>
      </c>
      <c r="F131" s="10" t="s">
        <v>63</v>
      </c>
      <c r="G131" s="10" t="s">
        <v>20</v>
      </c>
      <c r="H131" s="12">
        <v>1</v>
      </c>
      <c r="I131" s="13">
        <v>899.99</v>
      </c>
      <c r="J131" s="10" t="s">
        <v>27</v>
      </c>
      <c r="K131" s="10" t="s">
        <v>64</v>
      </c>
      <c r="L131" s="10" t="s">
        <v>37</v>
      </c>
      <c r="M131" s="11">
        <v>45369</v>
      </c>
      <c r="N131" s="44">
        <v>899.99</v>
      </c>
    </row>
    <row r="132" spans="1:14" ht="15.75" customHeight="1">
      <c r="A132" s="43" t="s">
        <v>272</v>
      </c>
      <c r="B132" s="11">
        <v>45583</v>
      </c>
      <c r="C132" s="10" t="s">
        <v>227</v>
      </c>
      <c r="D132" s="10" t="s">
        <v>228</v>
      </c>
      <c r="E132" s="10" t="s">
        <v>53</v>
      </c>
      <c r="F132" s="10" t="s">
        <v>54</v>
      </c>
      <c r="G132" s="10" t="s">
        <v>20</v>
      </c>
      <c r="H132" s="12">
        <v>2</v>
      </c>
      <c r="I132" s="13">
        <v>149.99</v>
      </c>
      <c r="J132" s="10" t="s">
        <v>27</v>
      </c>
      <c r="K132" s="10" t="s">
        <v>51</v>
      </c>
      <c r="L132" s="10" t="s">
        <v>23</v>
      </c>
      <c r="M132" s="11">
        <v>44916</v>
      </c>
      <c r="N132" s="44">
        <v>299.98</v>
      </c>
    </row>
    <row r="133" spans="1:14" ht="15.75" customHeight="1">
      <c r="A133" s="43" t="s">
        <v>273</v>
      </c>
      <c r="B133" s="11">
        <v>45586</v>
      </c>
      <c r="C133" s="10" t="s">
        <v>227</v>
      </c>
      <c r="D133" s="10" t="s">
        <v>228</v>
      </c>
      <c r="E133" s="10" t="s">
        <v>118</v>
      </c>
      <c r="F133" s="10" t="s">
        <v>119</v>
      </c>
      <c r="G133" s="10" t="s">
        <v>20</v>
      </c>
      <c r="H133" s="12">
        <v>3</v>
      </c>
      <c r="I133" s="13">
        <v>89.99</v>
      </c>
      <c r="J133" s="10" t="s">
        <v>35</v>
      </c>
      <c r="K133" s="10" t="s">
        <v>22</v>
      </c>
      <c r="L133" s="10" t="s">
        <v>23</v>
      </c>
      <c r="M133" s="11">
        <v>44551</v>
      </c>
      <c r="N133" s="44">
        <v>269.97000000000003</v>
      </c>
    </row>
    <row r="134" spans="1:14" ht="15.75" customHeight="1">
      <c r="A134" s="43" t="s">
        <v>274</v>
      </c>
      <c r="B134" s="11">
        <v>45588</v>
      </c>
      <c r="C134" s="10" t="s">
        <v>39</v>
      </c>
      <c r="D134" s="10" t="s">
        <v>40</v>
      </c>
      <c r="E134" s="10" t="s">
        <v>53</v>
      </c>
      <c r="F134" s="10" t="s">
        <v>54</v>
      </c>
      <c r="G134" s="10" t="s">
        <v>20</v>
      </c>
      <c r="H134" s="12">
        <v>2</v>
      </c>
      <c r="I134" s="13">
        <v>149.99</v>
      </c>
      <c r="J134" s="10" t="s">
        <v>35</v>
      </c>
      <c r="K134" s="10" t="s">
        <v>22</v>
      </c>
      <c r="L134" s="10" t="s">
        <v>23</v>
      </c>
      <c r="M134" s="11">
        <v>44473</v>
      </c>
      <c r="N134" s="44">
        <v>299.98</v>
      </c>
    </row>
    <row r="135" spans="1:14" ht="15.75" customHeight="1">
      <c r="A135" s="43" t="s">
        <v>275</v>
      </c>
      <c r="B135" s="11">
        <v>45588</v>
      </c>
      <c r="C135" s="10" t="s">
        <v>155</v>
      </c>
      <c r="D135" s="10" t="s">
        <v>156</v>
      </c>
      <c r="E135" s="10" t="s">
        <v>81</v>
      </c>
      <c r="F135" s="10" t="s">
        <v>82</v>
      </c>
      <c r="G135" s="10" t="s">
        <v>20</v>
      </c>
      <c r="H135" s="12">
        <v>2</v>
      </c>
      <c r="I135" s="13">
        <v>699.99</v>
      </c>
      <c r="J135" s="10" t="s">
        <v>21</v>
      </c>
      <c r="K135" s="10" t="s">
        <v>22</v>
      </c>
      <c r="L135" s="10" t="s">
        <v>23</v>
      </c>
      <c r="M135" s="11">
        <v>44992</v>
      </c>
      <c r="N135" s="44">
        <v>1399.98</v>
      </c>
    </row>
    <row r="136" spans="1:14" ht="15.75" customHeight="1">
      <c r="A136" s="43" t="s">
        <v>276</v>
      </c>
      <c r="B136" s="11">
        <v>45589</v>
      </c>
      <c r="C136" s="10" t="s">
        <v>159</v>
      </c>
      <c r="D136" s="10" t="s">
        <v>160</v>
      </c>
      <c r="E136" s="10" t="s">
        <v>81</v>
      </c>
      <c r="F136" s="10" t="s">
        <v>82</v>
      </c>
      <c r="G136" s="10" t="s">
        <v>20</v>
      </c>
      <c r="H136" s="12">
        <v>5</v>
      </c>
      <c r="I136" s="13">
        <v>699.99</v>
      </c>
      <c r="J136" s="10" t="s">
        <v>21</v>
      </c>
      <c r="K136" s="10" t="s">
        <v>41</v>
      </c>
      <c r="L136" s="10" t="s">
        <v>28</v>
      </c>
      <c r="M136" s="11">
        <v>44635</v>
      </c>
      <c r="N136" s="44">
        <v>3499.95</v>
      </c>
    </row>
    <row r="137" spans="1:14" ht="15.75" customHeight="1">
      <c r="A137" s="43" t="s">
        <v>277</v>
      </c>
      <c r="B137" s="11">
        <v>45592</v>
      </c>
      <c r="C137" s="10" t="s">
        <v>172</v>
      </c>
      <c r="D137" s="10" t="s">
        <v>173</v>
      </c>
      <c r="E137" s="10" t="s">
        <v>118</v>
      </c>
      <c r="F137" s="10" t="s">
        <v>119</v>
      </c>
      <c r="G137" s="10" t="s">
        <v>20</v>
      </c>
      <c r="H137" s="12">
        <v>3</v>
      </c>
      <c r="I137" s="13">
        <v>89.99</v>
      </c>
      <c r="J137" s="10" t="s">
        <v>27</v>
      </c>
      <c r="K137" s="10" t="s">
        <v>41</v>
      </c>
      <c r="L137" s="10" t="s">
        <v>37</v>
      </c>
      <c r="M137" s="11">
        <v>44615</v>
      </c>
      <c r="N137" s="44">
        <v>269.97000000000003</v>
      </c>
    </row>
    <row r="138" spans="1:14" ht="15.75" customHeight="1">
      <c r="A138" s="43" t="s">
        <v>278</v>
      </c>
      <c r="B138" s="11">
        <v>45597</v>
      </c>
      <c r="C138" s="10" t="s">
        <v>16</v>
      </c>
      <c r="D138" s="10" t="s">
        <v>17</v>
      </c>
      <c r="E138" s="10" t="s">
        <v>18</v>
      </c>
      <c r="F138" s="10" t="s">
        <v>19</v>
      </c>
      <c r="G138" s="10" t="s">
        <v>20</v>
      </c>
      <c r="H138" s="12">
        <v>5</v>
      </c>
      <c r="I138" s="13">
        <v>249.99</v>
      </c>
      <c r="J138" s="10" t="s">
        <v>27</v>
      </c>
      <c r="K138" s="10" t="s">
        <v>36</v>
      </c>
      <c r="L138" s="10" t="s">
        <v>37</v>
      </c>
      <c r="M138" s="11">
        <v>44881</v>
      </c>
      <c r="N138" s="44">
        <v>1249.95</v>
      </c>
    </row>
    <row r="139" spans="1:14" ht="15.75" customHeight="1">
      <c r="A139" s="43" t="s">
        <v>279</v>
      </c>
      <c r="B139" s="11">
        <v>45600</v>
      </c>
      <c r="C139" s="10" t="s">
        <v>66</v>
      </c>
      <c r="D139" s="10" t="s">
        <v>67</v>
      </c>
      <c r="E139" s="10" t="s">
        <v>106</v>
      </c>
      <c r="F139" s="10" t="s">
        <v>107</v>
      </c>
      <c r="G139" s="10" t="s">
        <v>47</v>
      </c>
      <c r="H139" s="12">
        <v>3</v>
      </c>
      <c r="I139" s="13">
        <v>299.99</v>
      </c>
      <c r="J139" s="10" t="s">
        <v>27</v>
      </c>
      <c r="K139" s="10" t="s">
        <v>36</v>
      </c>
      <c r="L139" s="10" t="s">
        <v>37</v>
      </c>
      <c r="M139" s="11">
        <v>44502</v>
      </c>
      <c r="N139" s="44">
        <v>899.97</v>
      </c>
    </row>
    <row r="140" spans="1:14" ht="15.75" customHeight="1">
      <c r="A140" s="43" t="s">
        <v>280</v>
      </c>
      <c r="B140" s="11">
        <v>45603</v>
      </c>
      <c r="C140" s="10" t="s">
        <v>100</v>
      </c>
      <c r="D140" s="10" t="s">
        <v>101</v>
      </c>
      <c r="E140" s="10" t="s">
        <v>118</v>
      </c>
      <c r="F140" s="10" t="s">
        <v>119</v>
      </c>
      <c r="G140" s="10" t="s">
        <v>20</v>
      </c>
      <c r="H140" s="12">
        <v>3</v>
      </c>
      <c r="I140" s="13">
        <v>89.99</v>
      </c>
      <c r="J140" s="10" t="s">
        <v>27</v>
      </c>
      <c r="K140" s="10" t="s">
        <v>41</v>
      </c>
      <c r="L140" s="10" t="s">
        <v>28</v>
      </c>
      <c r="M140" s="11">
        <v>44420</v>
      </c>
      <c r="N140" s="44">
        <v>269.97000000000003</v>
      </c>
    </row>
    <row r="141" spans="1:14" ht="15.75" customHeight="1">
      <c r="A141" s="43" t="s">
        <v>281</v>
      </c>
      <c r="B141" s="11">
        <v>45604</v>
      </c>
      <c r="C141" s="10" t="s">
        <v>90</v>
      </c>
      <c r="D141" s="10" t="s">
        <v>91</v>
      </c>
      <c r="E141" s="10" t="s">
        <v>45</v>
      </c>
      <c r="F141" s="10" t="s">
        <v>46</v>
      </c>
      <c r="G141" s="10" t="s">
        <v>47</v>
      </c>
      <c r="H141" s="12">
        <v>2</v>
      </c>
      <c r="I141" s="13">
        <v>149.99</v>
      </c>
      <c r="J141" s="10" t="s">
        <v>27</v>
      </c>
      <c r="K141" s="10" t="s">
        <v>51</v>
      </c>
      <c r="L141" s="10" t="s">
        <v>28</v>
      </c>
      <c r="M141" s="11">
        <v>44848</v>
      </c>
      <c r="N141" s="44">
        <v>299.98</v>
      </c>
    </row>
    <row r="142" spans="1:14" ht="15.75" customHeight="1">
      <c r="A142" s="43" t="s">
        <v>282</v>
      </c>
      <c r="B142" s="11">
        <v>45605</v>
      </c>
      <c r="C142" s="10" t="s">
        <v>186</v>
      </c>
      <c r="D142" s="10" t="s">
        <v>187</v>
      </c>
      <c r="E142" s="10" t="s">
        <v>18</v>
      </c>
      <c r="F142" s="10" t="s">
        <v>19</v>
      </c>
      <c r="G142" s="10" t="s">
        <v>20</v>
      </c>
      <c r="H142" s="12">
        <v>1</v>
      </c>
      <c r="I142" s="13">
        <v>249.99</v>
      </c>
      <c r="J142" s="10" t="s">
        <v>27</v>
      </c>
      <c r="K142" s="10" t="s">
        <v>41</v>
      </c>
      <c r="L142" s="10" t="s">
        <v>28</v>
      </c>
      <c r="M142" s="11">
        <v>44828</v>
      </c>
      <c r="N142" s="44">
        <v>249.99</v>
      </c>
    </row>
    <row r="143" spans="1:14" ht="15.75" customHeight="1">
      <c r="A143" s="43" t="s">
        <v>283</v>
      </c>
      <c r="B143" s="11">
        <v>45607</v>
      </c>
      <c r="C143" s="10" t="s">
        <v>73</v>
      </c>
      <c r="D143" s="10" t="s">
        <v>74</v>
      </c>
      <c r="E143" s="10" t="s">
        <v>53</v>
      </c>
      <c r="F143" s="10" t="s">
        <v>54</v>
      </c>
      <c r="G143" s="10" t="s">
        <v>20</v>
      </c>
      <c r="H143" s="12">
        <v>3</v>
      </c>
      <c r="I143" s="13">
        <v>149.99</v>
      </c>
      <c r="J143" s="10" t="s">
        <v>21</v>
      </c>
      <c r="K143" s="10" t="s">
        <v>41</v>
      </c>
      <c r="L143" s="10" t="s">
        <v>23</v>
      </c>
      <c r="M143" s="11">
        <v>44769</v>
      </c>
      <c r="N143" s="44">
        <v>449.97</v>
      </c>
    </row>
    <row r="144" spans="1:14" ht="15.75" customHeight="1">
      <c r="A144" s="43" t="s">
        <v>284</v>
      </c>
      <c r="B144" s="11">
        <v>45607</v>
      </c>
      <c r="C144" s="10" t="s">
        <v>16</v>
      </c>
      <c r="D144" s="10" t="s">
        <v>17</v>
      </c>
      <c r="E144" s="10" t="s">
        <v>32</v>
      </c>
      <c r="F144" s="10" t="s">
        <v>33</v>
      </c>
      <c r="G144" s="10" t="s">
        <v>34</v>
      </c>
      <c r="H144" s="12">
        <v>5</v>
      </c>
      <c r="I144" s="13">
        <v>59.99</v>
      </c>
      <c r="J144" s="10" t="s">
        <v>35</v>
      </c>
      <c r="K144" s="10" t="s">
        <v>51</v>
      </c>
      <c r="L144" s="10" t="s">
        <v>28</v>
      </c>
      <c r="M144" s="11">
        <v>44694</v>
      </c>
      <c r="N144" s="44">
        <v>299.95</v>
      </c>
    </row>
    <row r="145" spans="1:14" ht="15.75" customHeight="1">
      <c r="A145" s="43" t="s">
        <v>285</v>
      </c>
      <c r="B145" s="11">
        <v>45607</v>
      </c>
      <c r="C145" s="10" t="s">
        <v>100</v>
      </c>
      <c r="D145" s="10" t="s">
        <v>101</v>
      </c>
      <c r="E145" s="10" t="s">
        <v>18</v>
      </c>
      <c r="F145" s="10" t="s">
        <v>19</v>
      </c>
      <c r="G145" s="10" t="s">
        <v>20</v>
      </c>
      <c r="H145" s="12">
        <v>4</v>
      </c>
      <c r="I145" s="13">
        <v>249.99</v>
      </c>
      <c r="J145" s="10" t="s">
        <v>27</v>
      </c>
      <c r="K145" s="10" t="s">
        <v>51</v>
      </c>
      <c r="L145" s="10" t="s">
        <v>37</v>
      </c>
      <c r="M145" s="11">
        <v>44659</v>
      </c>
      <c r="N145" s="44">
        <v>999.96</v>
      </c>
    </row>
    <row r="146" spans="1:14" ht="15.75" customHeight="1">
      <c r="A146" s="43" t="s">
        <v>286</v>
      </c>
      <c r="B146" s="11">
        <v>45608</v>
      </c>
      <c r="C146" s="10" t="s">
        <v>155</v>
      </c>
      <c r="D146" s="10" t="s">
        <v>156</v>
      </c>
      <c r="E146" s="10" t="s">
        <v>45</v>
      </c>
      <c r="F146" s="10" t="s">
        <v>46</v>
      </c>
      <c r="G146" s="10" t="s">
        <v>47</v>
      </c>
      <c r="H146" s="12">
        <v>5</v>
      </c>
      <c r="I146" s="13">
        <v>149.99</v>
      </c>
      <c r="J146" s="10" t="s">
        <v>35</v>
      </c>
      <c r="K146" s="10" t="s">
        <v>22</v>
      </c>
      <c r="L146" s="10" t="s">
        <v>23</v>
      </c>
      <c r="M146" s="11">
        <v>44901</v>
      </c>
      <c r="N146" s="44">
        <v>749.95</v>
      </c>
    </row>
    <row r="147" spans="1:14" ht="15.75" customHeight="1">
      <c r="A147" s="43" t="s">
        <v>287</v>
      </c>
      <c r="B147" s="11">
        <v>45608</v>
      </c>
      <c r="C147" s="10" t="s">
        <v>84</v>
      </c>
      <c r="D147" s="10" t="s">
        <v>85</v>
      </c>
      <c r="E147" s="10" t="s">
        <v>32</v>
      </c>
      <c r="F147" s="10" t="s">
        <v>33</v>
      </c>
      <c r="G147" s="10" t="s">
        <v>34</v>
      </c>
      <c r="H147" s="12">
        <v>3</v>
      </c>
      <c r="I147" s="13">
        <v>59.99</v>
      </c>
      <c r="J147" s="10" t="s">
        <v>58</v>
      </c>
      <c r="K147" s="10" t="s">
        <v>36</v>
      </c>
      <c r="L147" s="10" t="s">
        <v>37</v>
      </c>
      <c r="M147" s="11">
        <v>45260</v>
      </c>
      <c r="N147" s="44">
        <v>179.97</v>
      </c>
    </row>
    <row r="148" spans="1:14" ht="15.75" customHeight="1">
      <c r="A148" s="43" t="s">
        <v>288</v>
      </c>
      <c r="B148" s="11">
        <v>45613</v>
      </c>
      <c r="C148" s="10" t="s">
        <v>235</v>
      </c>
      <c r="D148" s="10" t="s">
        <v>236</v>
      </c>
      <c r="E148" s="10" t="s">
        <v>45</v>
      </c>
      <c r="F148" s="10" t="s">
        <v>46</v>
      </c>
      <c r="G148" s="10" t="s">
        <v>47</v>
      </c>
      <c r="H148" s="12">
        <v>5</v>
      </c>
      <c r="I148" s="13">
        <v>149.99</v>
      </c>
      <c r="J148" s="10" t="s">
        <v>21</v>
      </c>
      <c r="K148" s="10" t="s">
        <v>41</v>
      </c>
      <c r="L148" s="10" t="s">
        <v>23</v>
      </c>
      <c r="M148" s="11">
        <v>44869</v>
      </c>
      <c r="N148" s="44">
        <v>749.95</v>
      </c>
    </row>
    <row r="149" spans="1:14" ht="15.75" customHeight="1">
      <c r="A149" s="43" t="s">
        <v>289</v>
      </c>
      <c r="B149" s="11">
        <v>45613</v>
      </c>
      <c r="C149" s="10" t="s">
        <v>87</v>
      </c>
      <c r="D149" s="10" t="s">
        <v>88</v>
      </c>
      <c r="E149" s="10" t="s">
        <v>81</v>
      </c>
      <c r="F149" s="10" t="s">
        <v>82</v>
      </c>
      <c r="G149" s="10" t="s">
        <v>20</v>
      </c>
      <c r="H149" s="12">
        <v>2</v>
      </c>
      <c r="I149" s="13">
        <v>699.99</v>
      </c>
      <c r="J149" s="10" t="s">
        <v>35</v>
      </c>
      <c r="K149" s="10" t="s">
        <v>51</v>
      </c>
      <c r="L149" s="10" t="s">
        <v>37</v>
      </c>
      <c r="M149" s="11">
        <v>44770</v>
      </c>
      <c r="N149" s="44">
        <v>1399.98</v>
      </c>
    </row>
    <row r="150" spans="1:14" ht="15.75" customHeight="1">
      <c r="A150" s="43" t="s">
        <v>290</v>
      </c>
      <c r="B150" s="11">
        <v>45617</v>
      </c>
      <c r="C150" s="10" t="s">
        <v>124</v>
      </c>
      <c r="D150" s="10" t="s">
        <v>125</v>
      </c>
      <c r="E150" s="10" t="s">
        <v>127</v>
      </c>
      <c r="F150" s="10" t="s">
        <v>128</v>
      </c>
      <c r="G150" s="10" t="s">
        <v>47</v>
      </c>
      <c r="H150" s="12">
        <v>4</v>
      </c>
      <c r="I150" s="13">
        <v>199.99</v>
      </c>
      <c r="J150" s="10" t="s">
        <v>58</v>
      </c>
      <c r="K150" s="10" t="s">
        <v>22</v>
      </c>
      <c r="L150" s="10" t="s">
        <v>28</v>
      </c>
      <c r="M150" s="11">
        <v>44427</v>
      </c>
      <c r="N150" s="44">
        <v>799.96</v>
      </c>
    </row>
    <row r="151" spans="1:14" ht="15.75" customHeight="1">
      <c r="A151" s="43" t="s">
        <v>291</v>
      </c>
      <c r="B151" s="11">
        <v>45619</v>
      </c>
      <c r="C151" s="10" t="s">
        <v>193</v>
      </c>
      <c r="D151" s="10" t="s">
        <v>194</v>
      </c>
      <c r="E151" s="10" t="s">
        <v>32</v>
      </c>
      <c r="F151" s="10" t="s">
        <v>33</v>
      </c>
      <c r="G151" s="10" t="s">
        <v>34</v>
      </c>
      <c r="H151" s="12">
        <v>1</v>
      </c>
      <c r="I151" s="13">
        <v>59.99</v>
      </c>
      <c r="J151" s="10" t="s">
        <v>58</v>
      </c>
      <c r="K151" s="10" t="s">
        <v>51</v>
      </c>
      <c r="L151" s="10" t="s">
        <v>37</v>
      </c>
      <c r="M151" s="11">
        <v>44560</v>
      </c>
      <c r="N151" s="44">
        <v>59.99</v>
      </c>
    </row>
    <row r="152" spans="1:14" ht="15.75" customHeight="1">
      <c r="A152" s="43" t="s">
        <v>292</v>
      </c>
      <c r="B152" s="11">
        <v>45619</v>
      </c>
      <c r="C152" s="10" t="s">
        <v>155</v>
      </c>
      <c r="D152" s="10" t="s">
        <v>156</v>
      </c>
      <c r="E152" s="10" t="s">
        <v>81</v>
      </c>
      <c r="F152" s="10" t="s">
        <v>82</v>
      </c>
      <c r="G152" s="10" t="s">
        <v>20</v>
      </c>
      <c r="H152" s="12">
        <v>3</v>
      </c>
      <c r="I152" s="13">
        <v>699.99</v>
      </c>
      <c r="J152" s="10" t="s">
        <v>35</v>
      </c>
      <c r="K152" s="10" t="s">
        <v>51</v>
      </c>
      <c r="L152" s="10" t="s">
        <v>37</v>
      </c>
      <c r="M152" s="11">
        <v>44583</v>
      </c>
      <c r="N152" s="44">
        <v>2099.9699999999998</v>
      </c>
    </row>
    <row r="153" spans="1:14" ht="15.75" customHeight="1">
      <c r="A153" s="43" t="s">
        <v>293</v>
      </c>
      <c r="B153" s="11">
        <v>45622</v>
      </c>
      <c r="C153" s="10" t="s">
        <v>294</v>
      </c>
      <c r="D153" s="10" t="s">
        <v>295</v>
      </c>
      <c r="E153" s="10" t="s">
        <v>18</v>
      </c>
      <c r="F153" s="10" t="s">
        <v>19</v>
      </c>
      <c r="G153" s="10" t="s">
        <v>20</v>
      </c>
      <c r="H153" s="12">
        <v>5</v>
      </c>
      <c r="I153" s="13">
        <v>249.99</v>
      </c>
      <c r="J153" s="10" t="s">
        <v>27</v>
      </c>
      <c r="K153" s="10" t="s">
        <v>41</v>
      </c>
      <c r="L153" s="10" t="s">
        <v>23</v>
      </c>
      <c r="M153" s="11">
        <v>44873</v>
      </c>
      <c r="N153" s="44">
        <v>1249.95</v>
      </c>
    </row>
    <row r="154" spans="1:14" ht="15.75" customHeight="1">
      <c r="A154" s="43" t="s">
        <v>296</v>
      </c>
      <c r="B154" s="11">
        <v>45623</v>
      </c>
      <c r="C154" s="10" t="s">
        <v>113</v>
      </c>
      <c r="D154" s="10" t="s">
        <v>114</v>
      </c>
      <c r="E154" s="10" t="s">
        <v>45</v>
      </c>
      <c r="F154" s="10" t="s">
        <v>46</v>
      </c>
      <c r="G154" s="10" t="s">
        <v>47</v>
      </c>
      <c r="H154" s="12">
        <v>2</v>
      </c>
      <c r="I154" s="13">
        <v>149.99</v>
      </c>
      <c r="J154" s="10" t="s">
        <v>21</v>
      </c>
      <c r="K154" s="10" t="s">
        <v>36</v>
      </c>
      <c r="L154" s="10" t="s">
        <v>37</v>
      </c>
      <c r="M154" s="11">
        <v>45101</v>
      </c>
      <c r="N154" s="44">
        <v>299.98</v>
      </c>
    </row>
    <row r="155" spans="1:14" ht="15.75" customHeight="1">
      <c r="A155" s="43" t="s">
        <v>297</v>
      </c>
      <c r="B155" s="11">
        <v>45627</v>
      </c>
      <c r="C155" s="10" t="s">
        <v>30</v>
      </c>
      <c r="D155" s="10" t="s">
        <v>31</v>
      </c>
      <c r="E155" s="10" t="s">
        <v>106</v>
      </c>
      <c r="F155" s="10" t="s">
        <v>107</v>
      </c>
      <c r="G155" s="10" t="s">
        <v>47</v>
      </c>
      <c r="H155" s="12">
        <v>3</v>
      </c>
      <c r="I155" s="13">
        <v>299.99</v>
      </c>
      <c r="J155" s="10" t="s">
        <v>21</v>
      </c>
      <c r="K155" s="10" t="s">
        <v>36</v>
      </c>
      <c r="L155" s="10" t="s">
        <v>28</v>
      </c>
      <c r="M155" s="11">
        <v>44659</v>
      </c>
      <c r="N155" s="44">
        <v>899.97</v>
      </c>
    </row>
    <row r="156" spans="1:14" ht="15.75" customHeight="1">
      <c r="A156" s="43" t="s">
        <v>298</v>
      </c>
      <c r="B156" s="11">
        <v>45627</v>
      </c>
      <c r="C156" s="10" t="s">
        <v>56</v>
      </c>
      <c r="D156" s="10" t="s">
        <v>57</v>
      </c>
      <c r="E156" s="10" t="s">
        <v>18</v>
      </c>
      <c r="F156" s="10" t="s">
        <v>19</v>
      </c>
      <c r="G156" s="10" t="s">
        <v>20</v>
      </c>
      <c r="H156" s="12">
        <v>5</v>
      </c>
      <c r="I156" s="13">
        <v>249.99</v>
      </c>
      <c r="J156" s="10" t="s">
        <v>21</v>
      </c>
      <c r="K156" s="10" t="s">
        <v>22</v>
      </c>
      <c r="L156" s="10" t="s">
        <v>28</v>
      </c>
      <c r="M156" s="11">
        <v>44485</v>
      </c>
      <c r="N156" s="44">
        <v>1249.95</v>
      </c>
    </row>
    <row r="157" spans="1:14" ht="15.75" customHeight="1">
      <c r="A157" s="43" t="s">
        <v>299</v>
      </c>
      <c r="B157" s="11">
        <v>45627</v>
      </c>
      <c r="C157" s="10" t="s">
        <v>25</v>
      </c>
      <c r="D157" s="10" t="s">
        <v>26</v>
      </c>
      <c r="E157" s="10" t="s">
        <v>53</v>
      </c>
      <c r="F157" s="10" t="s">
        <v>54</v>
      </c>
      <c r="G157" s="10" t="s">
        <v>20</v>
      </c>
      <c r="H157" s="12">
        <v>2</v>
      </c>
      <c r="I157" s="13">
        <v>149.99</v>
      </c>
      <c r="J157" s="10" t="s">
        <v>21</v>
      </c>
      <c r="K157" s="10" t="s">
        <v>36</v>
      </c>
      <c r="L157" s="10" t="s">
        <v>28</v>
      </c>
      <c r="M157" s="11">
        <v>44475</v>
      </c>
      <c r="N157" s="44">
        <v>299.98</v>
      </c>
    </row>
    <row r="158" spans="1:14" ht="15.75" customHeight="1">
      <c r="A158" s="43" t="s">
        <v>300</v>
      </c>
      <c r="B158" s="11">
        <v>45627</v>
      </c>
      <c r="C158" s="10" t="s">
        <v>87</v>
      </c>
      <c r="D158" s="10" t="s">
        <v>88</v>
      </c>
      <c r="E158" s="10" t="s">
        <v>81</v>
      </c>
      <c r="F158" s="10" t="s">
        <v>82</v>
      </c>
      <c r="G158" s="10" t="s">
        <v>20</v>
      </c>
      <c r="H158" s="12">
        <v>5</v>
      </c>
      <c r="I158" s="13">
        <v>699.99</v>
      </c>
      <c r="J158" s="10" t="s">
        <v>58</v>
      </c>
      <c r="K158" s="10" t="s">
        <v>51</v>
      </c>
      <c r="L158" s="10" t="s">
        <v>37</v>
      </c>
      <c r="M158" s="11">
        <v>44944</v>
      </c>
      <c r="N158" s="44">
        <v>3499.95</v>
      </c>
    </row>
    <row r="159" spans="1:14" ht="15.75" customHeight="1">
      <c r="A159" s="43" t="s">
        <v>301</v>
      </c>
      <c r="B159" s="11">
        <v>45629</v>
      </c>
      <c r="C159" s="10" t="s">
        <v>253</v>
      </c>
      <c r="D159" s="10" t="s">
        <v>254</v>
      </c>
      <c r="E159" s="10" t="s">
        <v>18</v>
      </c>
      <c r="F159" s="10" t="s">
        <v>19</v>
      </c>
      <c r="G159" s="10" t="s">
        <v>20</v>
      </c>
      <c r="H159" s="12">
        <v>4</v>
      </c>
      <c r="I159" s="13">
        <v>249.99</v>
      </c>
      <c r="J159" s="10" t="s">
        <v>35</v>
      </c>
      <c r="K159" s="10" t="s">
        <v>64</v>
      </c>
      <c r="L159" s="10" t="s">
        <v>28</v>
      </c>
      <c r="M159" s="11">
        <v>45098</v>
      </c>
      <c r="N159" s="44">
        <v>999.96</v>
      </c>
    </row>
    <row r="160" spans="1:14" ht="15.75" customHeight="1">
      <c r="A160" s="43" t="s">
        <v>302</v>
      </c>
      <c r="B160" s="11">
        <v>45630</v>
      </c>
      <c r="C160" s="10" t="s">
        <v>49</v>
      </c>
      <c r="D160" s="10" t="s">
        <v>50</v>
      </c>
      <c r="E160" s="10" t="s">
        <v>81</v>
      </c>
      <c r="F160" s="10" t="s">
        <v>82</v>
      </c>
      <c r="G160" s="10" t="s">
        <v>20</v>
      </c>
      <c r="H160" s="12">
        <v>4</v>
      </c>
      <c r="I160" s="13">
        <v>699.99</v>
      </c>
      <c r="J160" s="10" t="s">
        <v>27</v>
      </c>
      <c r="K160" s="10" t="s">
        <v>41</v>
      </c>
      <c r="L160" s="10" t="s">
        <v>28</v>
      </c>
      <c r="M160" s="11">
        <v>44703</v>
      </c>
      <c r="N160" s="44">
        <v>2799.96</v>
      </c>
    </row>
    <row r="161" spans="1:14" ht="15.75" customHeight="1">
      <c r="A161" s="43" t="s">
        <v>303</v>
      </c>
      <c r="B161" s="11">
        <v>45635</v>
      </c>
      <c r="C161" s="10" t="s">
        <v>109</v>
      </c>
      <c r="D161" s="10" t="s">
        <v>110</v>
      </c>
      <c r="E161" s="10" t="s">
        <v>18</v>
      </c>
      <c r="F161" s="10" t="s">
        <v>19</v>
      </c>
      <c r="G161" s="10" t="s">
        <v>20</v>
      </c>
      <c r="H161" s="12">
        <v>2</v>
      </c>
      <c r="I161" s="13">
        <v>249.99</v>
      </c>
      <c r="J161" s="10" t="s">
        <v>27</v>
      </c>
      <c r="K161" s="10" t="s">
        <v>22</v>
      </c>
      <c r="L161" s="10" t="s">
        <v>28</v>
      </c>
      <c r="M161" s="11">
        <v>44396</v>
      </c>
      <c r="N161" s="44">
        <v>499.98</v>
      </c>
    </row>
    <row r="162" spans="1:14" ht="15.75" customHeight="1">
      <c r="A162" s="43" t="s">
        <v>304</v>
      </c>
      <c r="B162" s="11">
        <v>45635</v>
      </c>
      <c r="C162" s="10" t="s">
        <v>305</v>
      </c>
      <c r="D162" s="10" t="s">
        <v>306</v>
      </c>
      <c r="E162" s="10" t="s">
        <v>32</v>
      </c>
      <c r="F162" s="10" t="s">
        <v>33</v>
      </c>
      <c r="G162" s="10" t="s">
        <v>34</v>
      </c>
      <c r="H162" s="12">
        <v>3</v>
      </c>
      <c r="I162" s="13">
        <v>59.99</v>
      </c>
      <c r="J162" s="10" t="s">
        <v>21</v>
      </c>
      <c r="K162" s="10" t="s">
        <v>22</v>
      </c>
      <c r="L162" s="10" t="s">
        <v>28</v>
      </c>
      <c r="M162" s="11">
        <v>45052</v>
      </c>
      <c r="N162" s="44">
        <v>179.97</v>
      </c>
    </row>
    <row r="163" spans="1:14" ht="15.75" customHeight="1">
      <c r="A163" s="43" t="s">
        <v>307</v>
      </c>
      <c r="B163" s="11">
        <v>45635</v>
      </c>
      <c r="C163" s="10" t="s">
        <v>142</v>
      </c>
      <c r="D163" s="10" t="s">
        <v>143</v>
      </c>
      <c r="E163" s="10" t="s">
        <v>115</v>
      </c>
      <c r="F163" s="10" t="s">
        <v>116</v>
      </c>
      <c r="G163" s="10" t="s">
        <v>34</v>
      </c>
      <c r="H163" s="12">
        <v>4</v>
      </c>
      <c r="I163" s="13">
        <v>79.989999999999995</v>
      </c>
      <c r="J163" s="10" t="s">
        <v>58</v>
      </c>
      <c r="K163" s="10" t="s">
        <v>64</v>
      </c>
      <c r="L163" s="10" t="s">
        <v>37</v>
      </c>
      <c r="M163" s="11">
        <v>44921</v>
      </c>
      <c r="N163" s="44">
        <v>319.95999999999998</v>
      </c>
    </row>
    <row r="164" spans="1:14" ht="15.75" customHeight="1">
      <c r="A164" s="43" t="s">
        <v>308</v>
      </c>
      <c r="B164" s="11">
        <v>45636</v>
      </c>
      <c r="C164" s="10" t="s">
        <v>121</v>
      </c>
      <c r="D164" s="10" t="s">
        <v>122</v>
      </c>
      <c r="E164" s="10" t="s">
        <v>115</v>
      </c>
      <c r="F164" s="10" t="s">
        <v>116</v>
      </c>
      <c r="G164" s="10" t="s">
        <v>34</v>
      </c>
      <c r="H164" s="12">
        <v>3</v>
      </c>
      <c r="I164" s="13">
        <v>79.989999999999995</v>
      </c>
      <c r="J164" s="10" t="s">
        <v>58</v>
      </c>
      <c r="K164" s="10" t="s">
        <v>64</v>
      </c>
      <c r="L164" s="10" t="s">
        <v>37</v>
      </c>
      <c r="M164" s="11">
        <v>44779</v>
      </c>
      <c r="N164" s="44">
        <v>239.97</v>
      </c>
    </row>
    <row r="165" spans="1:14" ht="15.75" customHeight="1">
      <c r="A165" s="43" t="s">
        <v>309</v>
      </c>
      <c r="B165" s="11">
        <v>45638</v>
      </c>
      <c r="C165" s="10" t="s">
        <v>73</v>
      </c>
      <c r="D165" s="10" t="s">
        <v>74</v>
      </c>
      <c r="E165" s="10" t="s">
        <v>62</v>
      </c>
      <c r="F165" s="10" t="s">
        <v>63</v>
      </c>
      <c r="G165" s="10" t="s">
        <v>20</v>
      </c>
      <c r="H165" s="12">
        <v>2</v>
      </c>
      <c r="I165" s="13">
        <v>899.99</v>
      </c>
      <c r="J165" s="10" t="s">
        <v>21</v>
      </c>
      <c r="K165" s="10" t="s">
        <v>41</v>
      </c>
      <c r="L165" s="10" t="s">
        <v>23</v>
      </c>
      <c r="M165" s="11">
        <v>44406</v>
      </c>
      <c r="N165" s="44">
        <v>1799.98</v>
      </c>
    </row>
    <row r="166" spans="1:14" ht="15.75" customHeight="1">
      <c r="A166" s="43" t="s">
        <v>310</v>
      </c>
      <c r="B166" s="11">
        <v>45641</v>
      </c>
      <c r="C166" s="10" t="s">
        <v>183</v>
      </c>
      <c r="D166" s="10" t="s">
        <v>184</v>
      </c>
      <c r="E166" s="10" t="s">
        <v>45</v>
      </c>
      <c r="F166" s="10" t="s">
        <v>46</v>
      </c>
      <c r="G166" s="10" t="s">
        <v>47</v>
      </c>
      <c r="H166" s="12">
        <v>1</v>
      </c>
      <c r="I166" s="13">
        <v>149.99</v>
      </c>
      <c r="J166" s="10" t="s">
        <v>58</v>
      </c>
      <c r="K166" s="10" t="s">
        <v>64</v>
      </c>
      <c r="L166" s="10" t="s">
        <v>37</v>
      </c>
      <c r="M166" s="11">
        <v>45200</v>
      </c>
      <c r="N166" s="44">
        <v>149.99</v>
      </c>
    </row>
    <row r="167" spans="1:14" ht="15.75" customHeight="1">
      <c r="A167" s="43" t="s">
        <v>311</v>
      </c>
      <c r="B167" s="11">
        <v>45641</v>
      </c>
      <c r="C167" s="10" t="s">
        <v>139</v>
      </c>
      <c r="D167" s="10" t="s">
        <v>140</v>
      </c>
      <c r="E167" s="10" t="s">
        <v>106</v>
      </c>
      <c r="F167" s="10" t="s">
        <v>107</v>
      </c>
      <c r="G167" s="10" t="s">
        <v>47</v>
      </c>
      <c r="H167" s="12">
        <v>2</v>
      </c>
      <c r="I167" s="13">
        <v>299.99</v>
      </c>
      <c r="J167" s="10" t="s">
        <v>21</v>
      </c>
      <c r="K167" s="10" t="s">
        <v>64</v>
      </c>
      <c r="L167" s="10" t="s">
        <v>28</v>
      </c>
      <c r="M167" s="11">
        <v>44724</v>
      </c>
      <c r="N167" s="44">
        <v>599.98</v>
      </c>
    </row>
    <row r="168" spans="1:14" ht="15.75" customHeight="1">
      <c r="A168" s="43" t="s">
        <v>312</v>
      </c>
      <c r="B168" s="11">
        <v>45644</v>
      </c>
      <c r="C168" s="10" t="s">
        <v>133</v>
      </c>
      <c r="D168" s="10" t="s">
        <v>134</v>
      </c>
      <c r="E168" s="10" t="s">
        <v>32</v>
      </c>
      <c r="F168" s="10" t="s">
        <v>33</v>
      </c>
      <c r="G168" s="10" t="s">
        <v>34</v>
      </c>
      <c r="H168" s="12">
        <v>2</v>
      </c>
      <c r="I168" s="13">
        <v>59.99</v>
      </c>
      <c r="J168" s="10" t="s">
        <v>21</v>
      </c>
      <c r="K168" s="10" t="s">
        <v>51</v>
      </c>
      <c r="L168" s="10" t="s">
        <v>23</v>
      </c>
      <c r="M168" s="11">
        <v>45191</v>
      </c>
      <c r="N168" s="44">
        <v>119.98</v>
      </c>
    </row>
    <row r="169" spans="1:14" ht="15.75" customHeight="1">
      <c r="A169" s="43" t="s">
        <v>313</v>
      </c>
      <c r="B169" s="11">
        <v>45645</v>
      </c>
      <c r="C169" s="10" t="s">
        <v>183</v>
      </c>
      <c r="D169" s="10" t="s">
        <v>184</v>
      </c>
      <c r="E169" s="10" t="s">
        <v>118</v>
      </c>
      <c r="F169" s="10" t="s">
        <v>119</v>
      </c>
      <c r="G169" s="10" t="s">
        <v>20</v>
      </c>
      <c r="H169" s="12">
        <v>1</v>
      </c>
      <c r="I169" s="13">
        <v>89.99</v>
      </c>
      <c r="J169" s="10" t="s">
        <v>58</v>
      </c>
      <c r="K169" s="10" t="s">
        <v>22</v>
      </c>
      <c r="L169" s="10" t="s">
        <v>37</v>
      </c>
      <c r="M169" s="11">
        <v>44760</v>
      </c>
      <c r="N169" s="44">
        <v>89.99</v>
      </c>
    </row>
    <row r="170" spans="1:14" ht="15.75" customHeight="1">
      <c r="A170" s="43" t="s">
        <v>314</v>
      </c>
      <c r="B170" s="11">
        <v>45645</v>
      </c>
      <c r="C170" s="10" t="s">
        <v>148</v>
      </c>
      <c r="D170" s="10" t="s">
        <v>149</v>
      </c>
      <c r="E170" s="10" t="s">
        <v>62</v>
      </c>
      <c r="F170" s="10" t="s">
        <v>63</v>
      </c>
      <c r="G170" s="10" t="s">
        <v>20</v>
      </c>
      <c r="H170" s="12">
        <v>5</v>
      </c>
      <c r="I170" s="13">
        <v>899.99</v>
      </c>
      <c r="J170" s="10" t="s">
        <v>58</v>
      </c>
      <c r="K170" s="10" t="s">
        <v>64</v>
      </c>
      <c r="L170" s="10" t="s">
        <v>37</v>
      </c>
      <c r="M170" s="11">
        <v>44625</v>
      </c>
      <c r="N170" s="44">
        <v>4499.95</v>
      </c>
    </row>
    <row r="171" spans="1:14" ht="15.75" customHeight="1">
      <c r="A171" s="43" t="s">
        <v>315</v>
      </c>
      <c r="B171" s="11">
        <v>45646</v>
      </c>
      <c r="C171" s="10" t="s">
        <v>43</v>
      </c>
      <c r="D171" s="10" t="s">
        <v>44</v>
      </c>
      <c r="E171" s="10" t="s">
        <v>45</v>
      </c>
      <c r="F171" s="10" t="s">
        <v>46</v>
      </c>
      <c r="G171" s="10" t="s">
        <v>47</v>
      </c>
      <c r="H171" s="12">
        <v>2</v>
      </c>
      <c r="I171" s="13">
        <v>149.99</v>
      </c>
      <c r="J171" s="10" t="s">
        <v>21</v>
      </c>
      <c r="K171" s="10" t="s">
        <v>36</v>
      </c>
      <c r="L171" s="10" t="s">
        <v>23</v>
      </c>
      <c r="M171" s="11">
        <v>45239</v>
      </c>
      <c r="N171" s="44">
        <v>299.98</v>
      </c>
    </row>
    <row r="172" spans="1:14" ht="15.75" customHeight="1">
      <c r="A172" s="43" t="s">
        <v>316</v>
      </c>
      <c r="B172" s="11">
        <v>45648</v>
      </c>
      <c r="C172" s="10" t="s">
        <v>113</v>
      </c>
      <c r="D172" s="10" t="s">
        <v>114</v>
      </c>
      <c r="E172" s="10" t="s">
        <v>53</v>
      </c>
      <c r="F172" s="10" t="s">
        <v>54</v>
      </c>
      <c r="G172" s="10" t="s">
        <v>20</v>
      </c>
      <c r="H172" s="12">
        <v>2</v>
      </c>
      <c r="I172" s="13">
        <v>149.99</v>
      </c>
      <c r="J172" s="10" t="s">
        <v>58</v>
      </c>
      <c r="K172" s="10" t="s">
        <v>51</v>
      </c>
      <c r="L172" s="10" t="s">
        <v>28</v>
      </c>
      <c r="M172" s="11">
        <v>45280</v>
      </c>
      <c r="N172" s="44">
        <v>299.98</v>
      </c>
    </row>
    <row r="173" spans="1:14" ht="15.75" customHeight="1">
      <c r="A173" s="43" t="s">
        <v>317</v>
      </c>
      <c r="B173" s="11">
        <v>45648</v>
      </c>
      <c r="C173" s="10" t="s">
        <v>183</v>
      </c>
      <c r="D173" s="10" t="s">
        <v>184</v>
      </c>
      <c r="E173" s="10" t="s">
        <v>45</v>
      </c>
      <c r="F173" s="10" t="s">
        <v>46</v>
      </c>
      <c r="G173" s="10" t="s">
        <v>47</v>
      </c>
      <c r="H173" s="12">
        <v>3</v>
      </c>
      <c r="I173" s="13">
        <v>149.99</v>
      </c>
      <c r="J173" s="10" t="s">
        <v>58</v>
      </c>
      <c r="K173" s="10" t="s">
        <v>41</v>
      </c>
      <c r="L173" s="10" t="s">
        <v>37</v>
      </c>
      <c r="M173" s="11">
        <v>44522</v>
      </c>
      <c r="N173" s="44">
        <v>449.97</v>
      </c>
    </row>
    <row r="174" spans="1:14" ht="15.75" customHeight="1">
      <c r="A174" s="43" t="s">
        <v>318</v>
      </c>
      <c r="B174" s="11">
        <v>45649</v>
      </c>
      <c r="C174" s="10" t="s">
        <v>30</v>
      </c>
      <c r="D174" s="10" t="s">
        <v>31</v>
      </c>
      <c r="E174" s="10" t="s">
        <v>106</v>
      </c>
      <c r="F174" s="10" t="s">
        <v>107</v>
      </c>
      <c r="G174" s="10" t="s">
        <v>47</v>
      </c>
      <c r="H174" s="12">
        <v>2</v>
      </c>
      <c r="I174" s="13">
        <v>299.99</v>
      </c>
      <c r="J174" s="10" t="s">
        <v>35</v>
      </c>
      <c r="K174" s="10" t="s">
        <v>36</v>
      </c>
      <c r="L174" s="10" t="s">
        <v>23</v>
      </c>
      <c r="M174" s="11">
        <v>44721</v>
      </c>
      <c r="N174" s="44">
        <v>599.98</v>
      </c>
    </row>
    <row r="175" spans="1:14" ht="15.75" customHeight="1">
      <c r="A175" s="43" t="s">
        <v>319</v>
      </c>
      <c r="B175" s="11">
        <v>45654</v>
      </c>
      <c r="C175" s="10" t="s">
        <v>43</v>
      </c>
      <c r="D175" s="10" t="s">
        <v>44</v>
      </c>
      <c r="E175" s="10" t="s">
        <v>106</v>
      </c>
      <c r="F175" s="10" t="s">
        <v>107</v>
      </c>
      <c r="G175" s="10" t="s">
        <v>47</v>
      </c>
      <c r="H175" s="12">
        <v>2</v>
      </c>
      <c r="I175" s="13">
        <v>299.99</v>
      </c>
      <c r="J175" s="10" t="s">
        <v>21</v>
      </c>
      <c r="K175" s="10" t="s">
        <v>51</v>
      </c>
      <c r="L175" s="10" t="s">
        <v>23</v>
      </c>
      <c r="M175" s="11">
        <v>44771</v>
      </c>
      <c r="N175" s="44">
        <v>599.98</v>
      </c>
    </row>
    <row r="176" spans="1:14" ht="15.75" customHeight="1">
      <c r="A176" s="43" t="s">
        <v>320</v>
      </c>
      <c r="B176" s="11">
        <v>45654</v>
      </c>
      <c r="C176" s="10" t="s">
        <v>121</v>
      </c>
      <c r="D176" s="10" t="s">
        <v>122</v>
      </c>
      <c r="E176" s="10" t="s">
        <v>127</v>
      </c>
      <c r="F176" s="10" t="s">
        <v>128</v>
      </c>
      <c r="G176" s="10" t="s">
        <v>47</v>
      </c>
      <c r="H176" s="12">
        <v>4</v>
      </c>
      <c r="I176" s="13">
        <v>199.99</v>
      </c>
      <c r="J176" s="10" t="s">
        <v>27</v>
      </c>
      <c r="K176" s="10" t="s">
        <v>22</v>
      </c>
      <c r="L176" s="10" t="s">
        <v>23</v>
      </c>
      <c r="M176" s="11">
        <v>44523</v>
      </c>
      <c r="N176" s="44">
        <v>799.96</v>
      </c>
    </row>
    <row r="177" spans="1:14" ht="15.75" customHeight="1">
      <c r="A177" s="43" t="s">
        <v>321</v>
      </c>
      <c r="B177" s="11">
        <v>45655</v>
      </c>
      <c r="C177" s="10" t="s">
        <v>60</v>
      </c>
      <c r="D177" s="10" t="s">
        <v>61</v>
      </c>
      <c r="E177" s="10" t="s">
        <v>118</v>
      </c>
      <c r="F177" s="10" t="s">
        <v>119</v>
      </c>
      <c r="G177" s="10" t="s">
        <v>20</v>
      </c>
      <c r="H177" s="12">
        <v>1</v>
      </c>
      <c r="I177" s="13">
        <v>89.99</v>
      </c>
      <c r="J177" s="10" t="s">
        <v>27</v>
      </c>
      <c r="K177" s="10" t="s">
        <v>36</v>
      </c>
      <c r="L177" s="10" t="s">
        <v>28</v>
      </c>
      <c r="M177" s="11">
        <v>44591</v>
      </c>
      <c r="N177" s="44">
        <v>89.99</v>
      </c>
    </row>
    <row r="178" spans="1:14" ht="15.75" customHeight="1">
      <c r="A178" s="43" t="s">
        <v>322</v>
      </c>
      <c r="B178" s="11">
        <v>45655</v>
      </c>
      <c r="C178" s="10" t="s">
        <v>109</v>
      </c>
      <c r="D178" s="10" t="s">
        <v>110</v>
      </c>
      <c r="E178" s="10" t="s">
        <v>45</v>
      </c>
      <c r="F178" s="10" t="s">
        <v>46</v>
      </c>
      <c r="G178" s="10" t="s">
        <v>47</v>
      </c>
      <c r="H178" s="12">
        <v>5</v>
      </c>
      <c r="I178" s="13">
        <v>149.99</v>
      </c>
      <c r="J178" s="10" t="s">
        <v>21</v>
      </c>
      <c r="K178" s="10" t="s">
        <v>22</v>
      </c>
      <c r="L178" s="10" t="s">
        <v>28</v>
      </c>
      <c r="M178" s="11">
        <v>45347</v>
      </c>
      <c r="N178" s="44">
        <v>749.95</v>
      </c>
    </row>
    <row r="179" spans="1:14" ht="15.75" customHeight="1">
      <c r="A179" s="43" t="s">
        <v>323</v>
      </c>
      <c r="B179" s="11">
        <v>45657</v>
      </c>
      <c r="C179" s="10" t="s">
        <v>87</v>
      </c>
      <c r="D179" s="10" t="s">
        <v>88</v>
      </c>
      <c r="E179" s="10" t="s">
        <v>62</v>
      </c>
      <c r="F179" s="10" t="s">
        <v>63</v>
      </c>
      <c r="G179" s="10" t="s">
        <v>20</v>
      </c>
      <c r="H179" s="12">
        <v>1</v>
      </c>
      <c r="I179" s="13">
        <v>899.99</v>
      </c>
      <c r="J179" s="10" t="s">
        <v>35</v>
      </c>
      <c r="K179" s="10" t="s">
        <v>41</v>
      </c>
      <c r="L179" s="10" t="s">
        <v>28</v>
      </c>
      <c r="M179" s="11">
        <v>45050</v>
      </c>
      <c r="N179" s="44">
        <v>899.99</v>
      </c>
    </row>
    <row r="180" spans="1:14" ht="15.75" customHeight="1">
      <c r="A180" s="43" t="s">
        <v>324</v>
      </c>
      <c r="B180" s="11">
        <v>45660</v>
      </c>
      <c r="C180" s="10" t="s">
        <v>148</v>
      </c>
      <c r="D180" s="10" t="s">
        <v>149</v>
      </c>
      <c r="E180" s="10" t="s">
        <v>118</v>
      </c>
      <c r="F180" s="10" t="s">
        <v>119</v>
      </c>
      <c r="G180" s="10" t="s">
        <v>20</v>
      </c>
      <c r="H180" s="12">
        <v>2</v>
      </c>
      <c r="I180" s="13">
        <v>89.99</v>
      </c>
      <c r="J180" s="10" t="s">
        <v>27</v>
      </c>
      <c r="K180" s="10" t="s">
        <v>36</v>
      </c>
      <c r="L180" s="10" t="s">
        <v>28</v>
      </c>
      <c r="M180" s="11">
        <v>44564</v>
      </c>
      <c r="N180" s="44">
        <v>179.98</v>
      </c>
    </row>
    <row r="181" spans="1:14" ht="15.75" customHeight="1">
      <c r="A181" s="43" t="s">
        <v>325</v>
      </c>
      <c r="B181" s="11">
        <v>45661</v>
      </c>
      <c r="C181" s="10" t="s">
        <v>326</v>
      </c>
      <c r="D181" s="10" t="s">
        <v>327</v>
      </c>
      <c r="E181" s="10" t="s">
        <v>62</v>
      </c>
      <c r="F181" s="10" t="s">
        <v>63</v>
      </c>
      <c r="G181" s="10" t="s">
        <v>20</v>
      </c>
      <c r="H181" s="12">
        <v>1</v>
      </c>
      <c r="I181" s="13">
        <v>899.99</v>
      </c>
      <c r="J181" s="10" t="s">
        <v>35</v>
      </c>
      <c r="K181" s="10" t="s">
        <v>41</v>
      </c>
      <c r="L181" s="10" t="s">
        <v>37</v>
      </c>
      <c r="M181" s="11">
        <v>44752</v>
      </c>
      <c r="N181" s="44">
        <v>899.99</v>
      </c>
    </row>
    <row r="182" spans="1:14" ht="15.75" customHeight="1">
      <c r="A182" s="43" t="s">
        <v>328</v>
      </c>
      <c r="B182" s="11">
        <v>45663</v>
      </c>
      <c r="C182" s="10" t="s">
        <v>130</v>
      </c>
      <c r="D182" s="10" t="s">
        <v>131</v>
      </c>
      <c r="E182" s="10" t="s">
        <v>53</v>
      </c>
      <c r="F182" s="10" t="s">
        <v>54</v>
      </c>
      <c r="G182" s="10" t="s">
        <v>20</v>
      </c>
      <c r="H182" s="12">
        <v>5</v>
      </c>
      <c r="I182" s="13">
        <v>149.99</v>
      </c>
      <c r="J182" s="10" t="s">
        <v>35</v>
      </c>
      <c r="K182" s="10" t="s">
        <v>64</v>
      </c>
      <c r="L182" s="10" t="s">
        <v>28</v>
      </c>
      <c r="M182" s="11">
        <v>44824</v>
      </c>
      <c r="N182" s="44">
        <v>749.95</v>
      </c>
    </row>
    <row r="183" spans="1:14" ht="15.75" customHeight="1">
      <c r="A183" s="43" t="s">
        <v>329</v>
      </c>
      <c r="B183" s="11">
        <v>45663</v>
      </c>
      <c r="C183" s="10" t="s">
        <v>43</v>
      </c>
      <c r="D183" s="10" t="s">
        <v>44</v>
      </c>
      <c r="E183" s="10" t="s">
        <v>106</v>
      </c>
      <c r="F183" s="10" t="s">
        <v>107</v>
      </c>
      <c r="G183" s="10" t="s">
        <v>47</v>
      </c>
      <c r="H183" s="12">
        <v>3</v>
      </c>
      <c r="I183" s="13">
        <v>299.99</v>
      </c>
      <c r="J183" s="10" t="s">
        <v>21</v>
      </c>
      <c r="K183" s="10" t="s">
        <v>36</v>
      </c>
      <c r="L183" s="10" t="s">
        <v>37</v>
      </c>
      <c r="M183" s="11">
        <v>44422</v>
      </c>
      <c r="N183" s="44">
        <v>899.97</v>
      </c>
    </row>
    <row r="184" spans="1:14" ht="15.75" customHeight="1">
      <c r="A184" s="43" t="s">
        <v>330</v>
      </c>
      <c r="B184" s="11">
        <v>45666</v>
      </c>
      <c r="C184" s="10" t="s">
        <v>66</v>
      </c>
      <c r="D184" s="10" t="s">
        <v>67</v>
      </c>
      <c r="E184" s="10" t="s">
        <v>81</v>
      </c>
      <c r="F184" s="10" t="s">
        <v>82</v>
      </c>
      <c r="G184" s="10" t="s">
        <v>20</v>
      </c>
      <c r="H184" s="12">
        <v>3</v>
      </c>
      <c r="I184" s="13">
        <v>699.99</v>
      </c>
      <c r="J184" s="10" t="s">
        <v>27</v>
      </c>
      <c r="K184" s="10" t="s">
        <v>22</v>
      </c>
      <c r="L184" s="10" t="s">
        <v>28</v>
      </c>
      <c r="M184" s="11">
        <v>45105</v>
      </c>
      <c r="N184" s="44">
        <v>2099.9699999999998</v>
      </c>
    </row>
    <row r="185" spans="1:14" ht="15.75" customHeight="1">
      <c r="A185" s="43" t="s">
        <v>331</v>
      </c>
      <c r="B185" s="11">
        <v>45667</v>
      </c>
      <c r="C185" s="10" t="s">
        <v>109</v>
      </c>
      <c r="D185" s="10" t="s">
        <v>110</v>
      </c>
      <c r="E185" s="10" t="s">
        <v>127</v>
      </c>
      <c r="F185" s="10" t="s">
        <v>128</v>
      </c>
      <c r="G185" s="10" t="s">
        <v>47</v>
      </c>
      <c r="H185" s="12">
        <v>5</v>
      </c>
      <c r="I185" s="13">
        <v>199.99</v>
      </c>
      <c r="J185" s="10" t="s">
        <v>35</v>
      </c>
      <c r="K185" s="10" t="s">
        <v>22</v>
      </c>
      <c r="L185" s="10" t="s">
        <v>37</v>
      </c>
      <c r="M185" s="11">
        <v>44633</v>
      </c>
      <c r="N185" s="44">
        <v>999.95</v>
      </c>
    </row>
    <row r="186" spans="1:14" ht="15.75" customHeight="1">
      <c r="A186" s="43" t="s">
        <v>332</v>
      </c>
      <c r="B186" s="11">
        <v>45667</v>
      </c>
      <c r="C186" s="10" t="s">
        <v>94</v>
      </c>
      <c r="D186" s="10" t="s">
        <v>95</v>
      </c>
      <c r="E186" s="10" t="s">
        <v>18</v>
      </c>
      <c r="F186" s="10" t="s">
        <v>19</v>
      </c>
      <c r="G186" s="10" t="s">
        <v>20</v>
      </c>
      <c r="H186" s="12">
        <v>5</v>
      </c>
      <c r="I186" s="13">
        <v>249.99</v>
      </c>
      <c r="J186" s="10" t="s">
        <v>27</v>
      </c>
      <c r="K186" s="10" t="s">
        <v>36</v>
      </c>
      <c r="L186" s="10" t="s">
        <v>23</v>
      </c>
      <c r="M186" s="11">
        <v>45330</v>
      </c>
      <c r="N186" s="44">
        <v>1249.95</v>
      </c>
    </row>
    <row r="187" spans="1:14" ht="15.75" customHeight="1">
      <c r="A187" s="43" t="s">
        <v>333</v>
      </c>
      <c r="B187" s="11">
        <v>45668</v>
      </c>
      <c r="C187" s="10" t="s">
        <v>139</v>
      </c>
      <c r="D187" s="10" t="s">
        <v>140</v>
      </c>
      <c r="E187" s="10" t="s">
        <v>53</v>
      </c>
      <c r="F187" s="10" t="s">
        <v>54</v>
      </c>
      <c r="G187" s="10" t="s">
        <v>20</v>
      </c>
      <c r="H187" s="12">
        <v>4</v>
      </c>
      <c r="I187" s="13">
        <v>149.99</v>
      </c>
      <c r="J187" s="10" t="s">
        <v>58</v>
      </c>
      <c r="K187" s="10" t="s">
        <v>64</v>
      </c>
      <c r="L187" s="10" t="s">
        <v>37</v>
      </c>
      <c r="M187" s="11">
        <v>44536</v>
      </c>
      <c r="N187" s="44">
        <v>599.96</v>
      </c>
    </row>
    <row r="188" spans="1:14" ht="15.75" customHeight="1">
      <c r="A188" s="43" t="s">
        <v>334</v>
      </c>
      <c r="B188" s="11">
        <v>45668</v>
      </c>
      <c r="C188" s="10" t="s">
        <v>79</v>
      </c>
      <c r="D188" s="10" t="s">
        <v>80</v>
      </c>
      <c r="E188" s="10" t="s">
        <v>81</v>
      </c>
      <c r="F188" s="10" t="s">
        <v>82</v>
      </c>
      <c r="G188" s="10" t="s">
        <v>20</v>
      </c>
      <c r="H188" s="12">
        <v>3</v>
      </c>
      <c r="I188" s="13">
        <v>699.99</v>
      </c>
      <c r="J188" s="10" t="s">
        <v>21</v>
      </c>
      <c r="K188" s="10" t="s">
        <v>41</v>
      </c>
      <c r="L188" s="10" t="s">
        <v>28</v>
      </c>
      <c r="M188" s="11">
        <v>44602</v>
      </c>
      <c r="N188" s="44">
        <v>2099.9699999999998</v>
      </c>
    </row>
    <row r="189" spans="1:14" ht="15.75" customHeight="1">
      <c r="A189" s="43" t="s">
        <v>335</v>
      </c>
      <c r="B189" s="11">
        <v>45670</v>
      </c>
      <c r="C189" s="10" t="s">
        <v>294</v>
      </c>
      <c r="D189" s="10" t="s">
        <v>295</v>
      </c>
      <c r="E189" s="10" t="s">
        <v>115</v>
      </c>
      <c r="F189" s="10" t="s">
        <v>116</v>
      </c>
      <c r="G189" s="10" t="s">
        <v>34</v>
      </c>
      <c r="H189" s="12">
        <v>1</v>
      </c>
      <c r="I189" s="13">
        <v>79.989999999999995</v>
      </c>
      <c r="J189" s="10" t="s">
        <v>27</v>
      </c>
      <c r="K189" s="10" t="s">
        <v>36</v>
      </c>
      <c r="L189" s="10" t="s">
        <v>23</v>
      </c>
      <c r="M189" s="11">
        <v>45322</v>
      </c>
      <c r="N189" s="44">
        <v>79.989999999999995</v>
      </c>
    </row>
    <row r="190" spans="1:14" ht="15.75" customHeight="1">
      <c r="A190" s="43" t="s">
        <v>336</v>
      </c>
      <c r="B190" s="11">
        <v>45670</v>
      </c>
      <c r="C190" s="10" t="s">
        <v>87</v>
      </c>
      <c r="D190" s="10" t="s">
        <v>88</v>
      </c>
      <c r="E190" s="10" t="s">
        <v>106</v>
      </c>
      <c r="F190" s="10" t="s">
        <v>107</v>
      </c>
      <c r="G190" s="10" t="s">
        <v>47</v>
      </c>
      <c r="H190" s="12">
        <v>1</v>
      </c>
      <c r="I190" s="13">
        <v>299.99</v>
      </c>
      <c r="J190" s="10" t="s">
        <v>27</v>
      </c>
      <c r="K190" s="10" t="s">
        <v>41</v>
      </c>
      <c r="L190" s="10" t="s">
        <v>23</v>
      </c>
      <c r="M190" s="11">
        <v>44436</v>
      </c>
      <c r="N190" s="44">
        <v>299.99</v>
      </c>
    </row>
    <row r="191" spans="1:14" ht="15.75" customHeight="1">
      <c r="A191" s="43" t="s">
        <v>337</v>
      </c>
      <c r="B191" s="11">
        <v>45671</v>
      </c>
      <c r="C191" s="10" t="s">
        <v>159</v>
      </c>
      <c r="D191" s="10" t="s">
        <v>160</v>
      </c>
      <c r="E191" s="10" t="s">
        <v>18</v>
      </c>
      <c r="F191" s="10" t="s">
        <v>19</v>
      </c>
      <c r="G191" s="10" t="s">
        <v>20</v>
      </c>
      <c r="H191" s="12">
        <v>4</v>
      </c>
      <c r="I191" s="13">
        <v>249.99</v>
      </c>
      <c r="J191" s="10" t="s">
        <v>27</v>
      </c>
      <c r="K191" s="10" t="s">
        <v>41</v>
      </c>
      <c r="L191" s="10" t="s">
        <v>28</v>
      </c>
      <c r="M191" s="11">
        <v>44460</v>
      </c>
      <c r="N191" s="44">
        <v>999.96</v>
      </c>
    </row>
    <row r="192" spans="1:14" ht="15.75" customHeight="1">
      <c r="A192" s="43" t="s">
        <v>338</v>
      </c>
      <c r="B192" s="11">
        <v>45671</v>
      </c>
      <c r="C192" s="10" t="s">
        <v>121</v>
      </c>
      <c r="D192" s="10" t="s">
        <v>122</v>
      </c>
      <c r="E192" s="10" t="s">
        <v>53</v>
      </c>
      <c r="F192" s="10" t="s">
        <v>54</v>
      </c>
      <c r="G192" s="10" t="s">
        <v>20</v>
      </c>
      <c r="H192" s="12">
        <v>2</v>
      </c>
      <c r="I192" s="13">
        <v>149.99</v>
      </c>
      <c r="J192" s="10" t="s">
        <v>21</v>
      </c>
      <c r="K192" s="10" t="s">
        <v>41</v>
      </c>
      <c r="L192" s="10" t="s">
        <v>37</v>
      </c>
      <c r="M192" s="11">
        <v>44913</v>
      </c>
      <c r="N192" s="44">
        <v>299.98</v>
      </c>
    </row>
    <row r="193" spans="1:14" ht="15.75" customHeight="1">
      <c r="A193" s="43" t="s">
        <v>339</v>
      </c>
      <c r="B193" s="11">
        <v>45671</v>
      </c>
      <c r="C193" s="10" t="s">
        <v>235</v>
      </c>
      <c r="D193" s="10" t="s">
        <v>236</v>
      </c>
      <c r="E193" s="10" t="s">
        <v>106</v>
      </c>
      <c r="F193" s="10" t="s">
        <v>107</v>
      </c>
      <c r="G193" s="10" t="s">
        <v>47</v>
      </c>
      <c r="H193" s="12">
        <v>3</v>
      </c>
      <c r="I193" s="13">
        <v>299.99</v>
      </c>
      <c r="J193" s="10" t="s">
        <v>27</v>
      </c>
      <c r="K193" s="10" t="s">
        <v>36</v>
      </c>
      <c r="L193" s="10" t="s">
        <v>23</v>
      </c>
      <c r="M193" s="11">
        <v>45204</v>
      </c>
      <c r="N193" s="44">
        <v>899.97</v>
      </c>
    </row>
    <row r="194" spans="1:14" ht="15.75" customHeight="1">
      <c r="A194" s="43" t="s">
        <v>340</v>
      </c>
      <c r="B194" s="11">
        <v>45673</v>
      </c>
      <c r="C194" s="10" t="s">
        <v>227</v>
      </c>
      <c r="D194" s="10" t="s">
        <v>228</v>
      </c>
      <c r="E194" s="10" t="s">
        <v>127</v>
      </c>
      <c r="F194" s="10" t="s">
        <v>128</v>
      </c>
      <c r="G194" s="10" t="s">
        <v>47</v>
      </c>
      <c r="H194" s="12">
        <v>4</v>
      </c>
      <c r="I194" s="13">
        <v>199.99</v>
      </c>
      <c r="J194" s="10" t="s">
        <v>58</v>
      </c>
      <c r="K194" s="10" t="s">
        <v>36</v>
      </c>
      <c r="L194" s="10" t="s">
        <v>37</v>
      </c>
      <c r="M194" s="11">
        <v>44544</v>
      </c>
      <c r="N194" s="44">
        <v>799.96</v>
      </c>
    </row>
    <row r="195" spans="1:14" ht="15.75" customHeight="1">
      <c r="A195" s="43" t="s">
        <v>341</v>
      </c>
      <c r="B195" s="11">
        <v>45673</v>
      </c>
      <c r="C195" s="10" t="s">
        <v>212</v>
      </c>
      <c r="D195" s="10" t="s">
        <v>213</v>
      </c>
      <c r="E195" s="10" t="s">
        <v>106</v>
      </c>
      <c r="F195" s="10" t="s">
        <v>107</v>
      </c>
      <c r="G195" s="10" t="s">
        <v>47</v>
      </c>
      <c r="H195" s="12">
        <v>5</v>
      </c>
      <c r="I195" s="13">
        <v>299.99</v>
      </c>
      <c r="J195" s="10" t="s">
        <v>58</v>
      </c>
      <c r="K195" s="10" t="s">
        <v>22</v>
      </c>
      <c r="L195" s="10" t="s">
        <v>23</v>
      </c>
      <c r="M195" s="11">
        <v>44431</v>
      </c>
      <c r="N195" s="44">
        <v>1499.95</v>
      </c>
    </row>
    <row r="196" spans="1:14" ht="15.75" customHeight="1">
      <c r="A196" s="43" t="s">
        <v>342</v>
      </c>
      <c r="B196" s="11">
        <v>45673</v>
      </c>
      <c r="C196" s="10" t="s">
        <v>60</v>
      </c>
      <c r="D196" s="10" t="s">
        <v>61</v>
      </c>
      <c r="E196" s="10" t="s">
        <v>45</v>
      </c>
      <c r="F196" s="10" t="s">
        <v>46</v>
      </c>
      <c r="G196" s="10" t="s">
        <v>47</v>
      </c>
      <c r="H196" s="12">
        <v>3</v>
      </c>
      <c r="I196" s="13">
        <v>149.99</v>
      </c>
      <c r="J196" s="10" t="s">
        <v>27</v>
      </c>
      <c r="K196" s="10" t="s">
        <v>64</v>
      </c>
      <c r="L196" s="10" t="s">
        <v>37</v>
      </c>
      <c r="M196" s="11">
        <v>44395</v>
      </c>
      <c r="N196" s="44">
        <v>449.97</v>
      </c>
    </row>
    <row r="197" spans="1:14" ht="15.75" customHeight="1">
      <c r="A197" s="43" t="s">
        <v>343</v>
      </c>
      <c r="B197" s="11">
        <v>45676</v>
      </c>
      <c r="C197" s="10" t="s">
        <v>130</v>
      </c>
      <c r="D197" s="10" t="s">
        <v>131</v>
      </c>
      <c r="E197" s="10" t="s">
        <v>32</v>
      </c>
      <c r="F197" s="10" t="s">
        <v>33</v>
      </c>
      <c r="G197" s="10" t="s">
        <v>34</v>
      </c>
      <c r="H197" s="12">
        <v>5</v>
      </c>
      <c r="I197" s="13">
        <v>59.99</v>
      </c>
      <c r="J197" s="10" t="s">
        <v>58</v>
      </c>
      <c r="K197" s="10" t="s">
        <v>64</v>
      </c>
      <c r="L197" s="10" t="s">
        <v>23</v>
      </c>
      <c r="M197" s="11">
        <v>44642</v>
      </c>
      <c r="N197" s="44">
        <v>299.95</v>
      </c>
    </row>
    <row r="198" spans="1:14" ht="15.75" customHeight="1">
      <c r="A198" s="43" t="s">
        <v>344</v>
      </c>
      <c r="B198" s="11">
        <v>45682</v>
      </c>
      <c r="C198" s="10" t="s">
        <v>69</v>
      </c>
      <c r="D198" s="10" t="s">
        <v>70</v>
      </c>
      <c r="E198" s="10" t="s">
        <v>32</v>
      </c>
      <c r="F198" s="10" t="s">
        <v>33</v>
      </c>
      <c r="G198" s="10" t="s">
        <v>34</v>
      </c>
      <c r="H198" s="12">
        <v>4</v>
      </c>
      <c r="I198" s="13">
        <v>59.99</v>
      </c>
      <c r="J198" s="10" t="s">
        <v>58</v>
      </c>
      <c r="K198" s="10" t="s">
        <v>64</v>
      </c>
      <c r="L198" s="10" t="s">
        <v>37</v>
      </c>
      <c r="M198" s="11">
        <v>44564</v>
      </c>
      <c r="N198" s="44">
        <v>239.96</v>
      </c>
    </row>
    <row r="199" spans="1:14" ht="15.75" customHeight="1">
      <c r="A199" s="43" t="s">
        <v>345</v>
      </c>
      <c r="B199" s="11">
        <v>45683</v>
      </c>
      <c r="C199" s="10" t="s">
        <v>49</v>
      </c>
      <c r="D199" s="10" t="s">
        <v>50</v>
      </c>
      <c r="E199" s="10" t="s">
        <v>18</v>
      </c>
      <c r="F199" s="10" t="s">
        <v>19</v>
      </c>
      <c r="G199" s="10" t="s">
        <v>20</v>
      </c>
      <c r="H199" s="12">
        <v>4</v>
      </c>
      <c r="I199" s="13">
        <v>249.99</v>
      </c>
      <c r="J199" s="10" t="s">
        <v>58</v>
      </c>
      <c r="K199" s="10" t="s">
        <v>22</v>
      </c>
      <c r="L199" s="10" t="s">
        <v>28</v>
      </c>
      <c r="M199" s="11">
        <v>45217</v>
      </c>
      <c r="N199" s="44">
        <v>999.96</v>
      </c>
    </row>
    <row r="200" spans="1:14" ht="15.75" customHeight="1">
      <c r="A200" s="43" t="s">
        <v>346</v>
      </c>
      <c r="B200" s="11">
        <v>45686</v>
      </c>
      <c r="C200" s="10" t="s">
        <v>253</v>
      </c>
      <c r="D200" s="10" t="s">
        <v>254</v>
      </c>
      <c r="E200" s="10" t="s">
        <v>62</v>
      </c>
      <c r="F200" s="10" t="s">
        <v>63</v>
      </c>
      <c r="G200" s="10" t="s">
        <v>20</v>
      </c>
      <c r="H200" s="12">
        <v>4</v>
      </c>
      <c r="I200" s="13">
        <v>899.99</v>
      </c>
      <c r="J200" s="10" t="s">
        <v>35</v>
      </c>
      <c r="K200" s="10" t="s">
        <v>22</v>
      </c>
      <c r="L200" s="10" t="s">
        <v>23</v>
      </c>
      <c r="M200" s="11">
        <v>44734</v>
      </c>
      <c r="N200" s="44">
        <v>3599.96</v>
      </c>
    </row>
    <row r="201" spans="1:14" ht="15.75" customHeight="1">
      <c r="A201" s="43" t="s">
        <v>347</v>
      </c>
      <c r="B201" s="11">
        <v>45686</v>
      </c>
      <c r="C201" s="10" t="s">
        <v>87</v>
      </c>
      <c r="D201" s="10" t="s">
        <v>88</v>
      </c>
      <c r="E201" s="10" t="s">
        <v>106</v>
      </c>
      <c r="F201" s="10" t="s">
        <v>107</v>
      </c>
      <c r="G201" s="10" t="s">
        <v>47</v>
      </c>
      <c r="H201" s="12">
        <v>3</v>
      </c>
      <c r="I201" s="13">
        <v>299.99</v>
      </c>
      <c r="J201" s="10" t="s">
        <v>58</v>
      </c>
      <c r="K201" s="10" t="s">
        <v>51</v>
      </c>
      <c r="L201" s="10" t="s">
        <v>37</v>
      </c>
      <c r="M201" s="11">
        <v>44952</v>
      </c>
      <c r="N201" s="44">
        <v>899.97</v>
      </c>
    </row>
    <row r="202" spans="1:14" ht="15.75" customHeight="1">
      <c r="A202" s="43" t="s">
        <v>348</v>
      </c>
      <c r="B202" s="11">
        <v>45686</v>
      </c>
      <c r="C202" s="10" t="s">
        <v>294</v>
      </c>
      <c r="D202" s="10" t="s">
        <v>295</v>
      </c>
      <c r="E202" s="10" t="s">
        <v>81</v>
      </c>
      <c r="F202" s="10" t="s">
        <v>82</v>
      </c>
      <c r="G202" s="10" t="s">
        <v>20</v>
      </c>
      <c r="H202" s="12">
        <v>2</v>
      </c>
      <c r="I202" s="13">
        <v>699.99</v>
      </c>
      <c r="J202" s="10" t="s">
        <v>58</v>
      </c>
      <c r="K202" s="10" t="s">
        <v>22</v>
      </c>
      <c r="L202" s="10" t="s">
        <v>28</v>
      </c>
      <c r="M202" s="11">
        <v>44681</v>
      </c>
      <c r="N202" s="44">
        <v>1399.98</v>
      </c>
    </row>
    <row r="203" spans="1:14" ht="15.75" customHeight="1">
      <c r="A203" s="43" t="s">
        <v>349</v>
      </c>
      <c r="B203" s="11">
        <v>45688</v>
      </c>
      <c r="C203" s="10" t="s">
        <v>66</v>
      </c>
      <c r="D203" s="10" t="s">
        <v>67</v>
      </c>
      <c r="E203" s="10" t="s">
        <v>81</v>
      </c>
      <c r="F203" s="10" t="s">
        <v>82</v>
      </c>
      <c r="G203" s="10" t="s">
        <v>20</v>
      </c>
      <c r="H203" s="12">
        <v>4</v>
      </c>
      <c r="I203" s="13">
        <v>699.99</v>
      </c>
      <c r="J203" s="10" t="s">
        <v>58</v>
      </c>
      <c r="K203" s="10" t="s">
        <v>51</v>
      </c>
      <c r="L203" s="10" t="s">
        <v>28</v>
      </c>
      <c r="M203" s="11">
        <v>44692</v>
      </c>
      <c r="N203" s="44">
        <v>2799.96</v>
      </c>
    </row>
    <row r="204" spans="1:14" ht="15.75" customHeight="1">
      <c r="A204" s="43" t="s">
        <v>350</v>
      </c>
      <c r="B204" s="11">
        <v>45688</v>
      </c>
      <c r="C204" s="10" t="s">
        <v>124</v>
      </c>
      <c r="D204" s="10" t="s">
        <v>125</v>
      </c>
      <c r="E204" s="10" t="s">
        <v>118</v>
      </c>
      <c r="F204" s="10" t="s">
        <v>119</v>
      </c>
      <c r="G204" s="10" t="s">
        <v>20</v>
      </c>
      <c r="H204" s="12">
        <v>2</v>
      </c>
      <c r="I204" s="13">
        <v>89.99</v>
      </c>
      <c r="J204" s="10" t="s">
        <v>58</v>
      </c>
      <c r="K204" s="10" t="s">
        <v>36</v>
      </c>
      <c r="L204" s="10" t="s">
        <v>23</v>
      </c>
      <c r="M204" s="11">
        <v>44777</v>
      </c>
      <c r="N204" s="44">
        <v>179.98</v>
      </c>
    </row>
    <row r="205" spans="1:14" ht="15.75" customHeight="1">
      <c r="A205" s="43" t="s">
        <v>351</v>
      </c>
      <c r="B205" s="11">
        <v>45688</v>
      </c>
      <c r="C205" s="10" t="s">
        <v>43</v>
      </c>
      <c r="D205" s="10" t="s">
        <v>44</v>
      </c>
      <c r="E205" s="10" t="s">
        <v>118</v>
      </c>
      <c r="F205" s="10" t="s">
        <v>119</v>
      </c>
      <c r="G205" s="10" t="s">
        <v>20</v>
      </c>
      <c r="H205" s="12">
        <v>3</v>
      </c>
      <c r="I205" s="13">
        <v>89.99</v>
      </c>
      <c r="J205" s="10" t="s">
        <v>58</v>
      </c>
      <c r="K205" s="10" t="s">
        <v>36</v>
      </c>
      <c r="L205" s="10" t="s">
        <v>28</v>
      </c>
      <c r="M205" s="11">
        <v>45307</v>
      </c>
      <c r="N205" s="44">
        <v>269.97000000000003</v>
      </c>
    </row>
    <row r="206" spans="1:14" ht="15.75" customHeight="1">
      <c r="A206" s="43" t="s">
        <v>352</v>
      </c>
      <c r="B206" s="11">
        <v>45692</v>
      </c>
      <c r="C206" s="10" t="s">
        <v>326</v>
      </c>
      <c r="D206" s="10" t="s">
        <v>327</v>
      </c>
      <c r="E206" s="10" t="s">
        <v>32</v>
      </c>
      <c r="F206" s="10" t="s">
        <v>33</v>
      </c>
      <c r="G206" s="10" t="s">
        <v>34</v>
      </c>
      <c r="H206" s="12">
        <v>1</v>
      </c>
      <c r="I206" s="13">
        <v>59.99</v>
      </c>
      <c r="J206" s="10" t="s">
        <v>58</v>
      </c>
      <c r="K206" s="10" t="s">
        <v>22</v>
      </c>
      <c r="L206" s="10" t="s">
        <v>37</v>
      </c>
      <c r="M206" s="11">
        <v>45045</v>
      </c>
      <c r="N206" s="44">
        <v>59.99</v>
      </c>
    </row>
    <row r="207" spans="1:14" ht="15.75" customHeight="1">
      <c r="A207" s="43" t="s">
        <v>353</v>
      </c>
      <c r="B207" s="11">
        <v>45695</v>
      </c>
      <c r="C207" s="10" t="s">
        <v>247</v>
      </c>
      <c r="D207" s="10" t="s">
        <v>248</v>
      </c>
      <c r="E207" s="10" t="s">
        <v>45</v>
      </c>
      <c r="F207" s="10" t="s">
        <v>46</v>
      </c>
      <c r="G207" s="10" t="s">
        <v>47</v>
      </c>
      <c r="H207" s="12">
        <v>3</v>
      </c>
      <c r="I207" s="13">
        <v>149.99</v>
      </c>
      <c r="J207" s="10" t="s">
        <v>58</v>
      </c>
      <c r="K207" s="10" t="s">
        <v>41</v>
      </c>
      <c r="L207" s="10" t="s">
        <v>28</v>
      </c>
      <c r="M207" s="11">
        <v>44564</v>
      </c>
      <c r="N207" s="44">
        <v>449.97</v>
      </c>
    </row>
    <row r="208" spans="1:14" ht="15.75" customHeight="1">
      <c r="A208" s="43" t="s">
        <v>354</v>
      </c>
      <c r="B208" s="11">
        <v>45695</v>
      </c>
      <c r="C208" s="10" t="s">
        <v>94</v>
      </c>
      <c r="D208" s="10" t="s">
        <v>95</v>
      </c>
      <c r="E208" s="10" t="s">
        <v>106</v>
      </c>
      <c r="F208" s="10" t="s">
        <v>107</v>
      </c>
      <c r="G208" s="10" t="s">
        <v>47</v>
      </c>
      <c r="H208" s="12">
        <v>5</v>
      </c>
      <c r="I208" s="13">
        <v>299.99</v>
      </c>
      <c r="J208" s="10" t="s">
        <v>27</v>
      </c>
      <c r="K208" s="10" t="s">
        <v>36</v>
      </c>
      <c r="L208" s="10" t="s">
        <v>23</v>
      </c>
      <c r="M208" s="11">
        <v>44959</v>
      </c>
      <c r="N208" s="44">
        <v>1499.95</v>
      </c>
    </row>
    <row r="209" spans="1:14" ht="15.75" customHeight="1">
      <c r="A209" s="43" t="s">
        <v>355</v>
      </c>
      <c r="B209" s="11">
        <v>45696</v>
      </c>
      <c r="C209" s="10" t="s">
        <v>151</v>
      </c>
      <c r="D209" s="10" t="s">
        <v>152</v>
      </c>
      <c r="E209" s="10" t="s">
        <v>32</v>
      </c>
      <c r="F209" s="10" t="s">
        <v>33</v>
      </c>
      <c r="G209" s="10" t="s">
        <v>34</v>
      </c>
      <c r="H209" s="12">
        <v>5</v>
      </c>
      <c r="I209" s="13">
        <v>59.99</v>
      </c>
      <c r="J209" s="10" t="s">
        <v>58</v>
      </c>
      <c r="K209" s="10" t="s">
        <v>22</v>
      </c>
      <c r="L209" s="10" t="s">
        <v>37</v>
      </c>
      <c r="M209" s="11">
        <v>45177</v>
      </c>
      <c r="N209" s="44">
        <v>299.95</v>
      </c>
    </row>
    <row r="210" spans="1:14" ht="15.75" customHeight="1">
      <c r="A210" s="43" t="s">
        <v>356</v>
      </c>
      <c r="B210" s="11">
        <v>45701</v>
      </c>
      <c r="C210" s="10" t="s">
        <v>109</v>
      </c>
      <c r="D210" s="10" t="s">
        <v>110</v>
      </c>
      <c r="E210" s="10" t="s">
        <v>115</v>
      </c>
      <c r="F210" s="10" t="s">
        <v>116</v>
      </c>
      <c r="G210" s="10" t="s">
        <v>34</v>
      </c>
      <c r="H210" s="12">
        <v>3</v>
      </c>
      <c r="I210" s="13">
        <v>79.989999999999995</v>
      </c>
      <c r="J210" s="10" t="s">
        <v>21</v>
      </c>
      <c r="K210" s="10" t="s">
        <v>64</v>
      </c>
      <c r="L210" s="10" t="s">
        <v>28</v>
      </c>
      <c r="M210" s="11">
        <v>44436</v>
      </c>
      <c r="N210" s="44">
        <v>239.97</v>
      </c>
    </row>
    <row r="211" spans="1:14" ht="15.75" customHeight="1">
      <c r="A211" s="43" t="s">
        <v>357</v>
      </c>
      <c r="B211" s="11">
        <v>45704</v>
      </c>
      <c r="C211" s="10" t="s">
        <v>30</v>
      </c>
      <c r="D211" s="10" t="s">
        <v>31</v>
      </c>
      <c r="E211" s="10" t="s">
        <v>127</v>
      </c>
      <c r="F211" s="10" t="s">
        <v>128</v>
      </c>
      <c r="G211" s="10" t="s">
        <v>47</v>
      </c>
      <c r="H211" s="12">
        <v>3</v>
      </c>
      <c r="I211" s="13">
        <v>199.99</v>
      </c>
      <c r="J211" s="10" t="s">
        <v>21</v>
      </c>
      <c r="K211" s="10" t="s">
        <v>22</v>
      </c>
      <c r="L211" s="10" t="s">
        <v>23</v>
      </c>
      <c r="M211" s="11">
        <v>44735</v>
      </c>
      <c r="N211" s="44">
        <v>599.97</v>
      </c>
    </row>
    <row r="212" spans="1:14" ht="15.75" customHeight="1">
      <c r="A212" s="43" t="s">
        <v>358</v>
      </c>
      <c r="B212" s="11">
        <v>45704</v>
      </c>
      <c r="C212" s="10" t="s">
        <v>16</v>
      </c>
      <c r="D212" s="10" t="s">
        <v>17</v>
      </c>
      <c r="E212" s="10" t="s">
        <v>118</v>
      </c>
      <c r="F212" s="10" t="s">
        <v>119</v>
      </c>
      <c r="G212" s="10" t="s">
        <v>20</v>
      </c>
      <c r="H212" s="12">
        <v>2</v>
      </c>
      <c r="I212" s="13">
        <v>89.99</v>
      </c>
      <c r="J212" s="10" t="s">
        <v>35</v>
      </c>
      <c r="K212" s="10" t="s">
        <v>22</v>
      </c>
      <c r="L212" s="10" t="s">
        <v>23</v>
      </c>
      <c r="M212" s="11">
        <v>45257</v>
      </c>
      <c r="N212" s="44">
        <v>179.98</v>
      </c>
    </row>
    <row r="213" spans="1:14" ht="15.75" customHeight="1">
      <c r="A213" s="43" t="s">
        <v>359</v>
      </c>
      <c r="B213" s="11">
        <v>45705</v>
      </c>
      <c r="C213" s="10" t="s">
        <v>260</v>
      </c>
      <c r="D213" s="10" t="s">
        <v>261</v>
      </c>
      <c r="E213" s="10" t="s">
        <v>45</v>
      </c>
      <c r="F213" s="10" t="s">
        <v>46</v>
      </c>
      <c r="G213" s="10" t="s">
        <v>47</v>
      </c>
      <c r="H213" s="12">
        <v>2</v>
      </c>
      <c r="I213" s="13">
        <v>149.99</v>
      </c>
      <c r="J213" s="10" t="s">
        <v>21</v>
      </c>
      <c r="K213" s="10" t="s">
        <v>36</v>
      </c>
      <c r="L213" s="10" t="s">
        <v>28</v>
      </c>
      <c r="M213" s="11">
        <v>44728</v>
      </c>
      <c r="N213" s="44">
        <v>299.98</v>
      </c>
    </row>
    <row r="214" spans="1:14" ht="15.75" customHeight="1">
      <c r="A214" s="43" t="s">
        <v>360</v>
      </c>
      <c r="B214" s="11">
        <v>45707</v>
      </c>
      <c r="C214" s="10" t="s">
        <v>124</v>
      </c>
      <c r="D214" s="10" t="s">
        <v>125</v>
      </c>
      <c r="E214" s="10" t="s">
        <v>81</v>
      </c>
      <c r="F214" s="10" t="s">
        <v>82</v>
      </c>
      <c r="G214" s="10" t="s">
        <v>20</v>
      </c>
      <c r="H214" s="12">
        <v>5</v>
      </c>
      <c r="I214" s="13">
        <v>699.99</v>
      </c>
      <c r="J214" s="10" t="s">
        <v>35</v>
      </c>
      <c r="K214" s="10" t="s">
        <v>36</v>
      </c>
      <c r="L214" s="10" t="s">
        <v>28</v>
      </c>
      <c r="M214" s="11">
        <v>45352</v>
      </c>
      <c r="N214" s="44">
        <v>3499.95</v>
      </c>
    </row>
    <row r="215" spans="1:14" ht="15.75" customHeight="1">
      <c r="A215" s="43" t="s">
        <v>361</v>
      </c>
      <c r="B215" s="11">
        <v>45707</v>
      </c>
      <c r="C215" s="10" t="s">
        <v>43</v>
      </c>
      <c r="D215" s="10" t="s">
        <v>44</v>
      </c>
      <c r="E215" s="10" t="s">
        <v>45</v>
      </c>
      <c r="F215" s="10" t="s">
        <v>46</v>
      </c>
      <c r="G215" s="10" t="s">
        <v>47</v>
      </c>
      <c r="H215" s="12">
        <v>3</v>
      </c>
      <c r="I215" s="13">
        <v>149.99</v>
      </c>
      <c r="J215" s="10" t="s">
        <v>35</v>
      </c>
      <c r="K215" s="10" t="s">
        <v>22</v>
      </c>
      <c r="L215" s="10" t="s">
        <v>37</v>
      </c>
      <c r="M215" s="11">
        <v>44633</v>
      </c>
      <c r="N215" s="44">
        <v>449.97</v>
      </c>
    </row>
    <row r="216" spans="1:14" ht="15.75" customHeight="1">
      <c r="A216" s="43" t="s">
        <v>362</v>
      </c>
      <c r="B216" s="11">
        <v>45708</v>
      </c>
      <c r="C216" s="10" t="s">
        <v>97</v>
      </c>
      <c r="D216" s="10" t="s">
        <v>98</v>
      </c>
      <c r="E216" s="10" t="s">
        <v>62</v>
      </c>
      <c r="F216" s="10" t="s">
        <v>63</v>
      </c>
      <c r="G216" s="10" t="s">
        <v>20</v>
      </c>
      <c r="H216" s="12">
        <v>3</v>
      </c>
      <c r="I216" s="13">
        <v>899.99</v>
      </c>
      <c r="J216" s="10" t="s">
        <v>21</v>
      </c>
      <c r="K216" s="10" t="s">
        <v>64</v>
      </c>
      <c r="L216" s="10" t="s">
        <v>37</v>
      </c>
      <c r="M216" s="11">
        <v>44613</v>
      </c>
      <c r="N216" s="44">
        <v>2699.97</v>
      </c>
    </row>
    <row r="217" spans="1:14" ht="15.75" customHeight="1">
      <c r="A217" s="43" t="s">
        <v>363</v>
      </c>
      <c r="B217" s="11">
        <v>45708</v>
      </c>
      <c r="C217" s="10" t="s">
        <v>193</v>
      </c>
      <c r="D217" s="10" t="s">
        <v>194</v>
      </c>
      <c r="E217" s="10" t="s">
        <v>127</v>
      </c>
      <c r="F217" s="10" t="s">
        <v>128</v>
      </c>
      <c r="G217" s="10" t="s">
        <v>47</v>
      </c>
      <c r="H217" s="12">
        <v>3</v>
      </c>
      <c r="I217" s="13">
        <v>199.99</v>
      </c>
      <c r="J217" s="10" t="s">
        <v>21</v>
      </c>
      <c r="K217" s="10" t="s">
        <v>51</v>
      </c>
      <c r="L217" s="10" t="s">
        <v>28</v>
      </c>
      <c r="M217" s="11">
        <v>44823</v>
      </c>
      <c r="N217" s="44">
        <v>599.97</v>
      </c>
    </row>
    <row r="218" spans="1:14" ht="15.75" customHeight="1">
      <c r="A218" s="43" t="s">
        <v>364</v>
      </c>
      <c r="B218" s="11">
        <v>45710</v>
      </c>
      <c r="C218" s="10" t="s">
        <v>56</v>
      </c>
      <c r="D218" s="10" t="s">
        <v>57</v>
      </c>
      <c r="E218" s="10" t="s">
        <v>106</v>
      </c>
      <c r="F218" s="10" t="s">
        <v>107</v>
      </c>
      <c r="G218" s="10" t="s">
        <v>47</v>
      </c>
      <c r="H218" s="12">
        <v>5</v>
      </c>
      <c r="I218" s="13">
        <v>299.99</v>
      </c>
      <c r="J218" s="10" t="s">
        <v>21</v>
      </c>
      <c r="K218" s="10" t="s">
        <v>51</v>
      </c>
      <c r="L218" s="10" t="s">
        <v>37</v>
      </c>
      <c r="M218" s="11">
        <v>45142</v>
      </c>
      <c r="N218" s="44">
        <v>1499.95</v>
      </c>
    </row>
    <row r="219" spans="1:14" ht="15.75" customHeight="1">
      <c r="A219" s="43" t="s">
        <v>365</v>
      </c>
      <c r="B219" s="11">
        <v>45710</v>
      </c>
      <c r="C219" s="10" t="s">
        <v>151</v>
      </c>
      <c r="D219" s="10" t="s">
        <v>152</v>
      </c>
      <c r="E219" s="10" t="s">
        <v>81</v>
      </c>
      <c r="F219" s="10" t="s">
        <v>82</v>
      </c>
      <c r="G219" s="10" t="s">
        <v>20</v>
      </c>
      <c r="H219" s="12">
        <v>1</v>
      </c>
      <c r="I219" s="13">
        <v>699.99</v>
      </c>
      <c r="J219" s="10" t="s">
        <v>35</v>
      </c>
      <c r="K219" s="10" t="s">
        <v>51</v>
      </c>
      <c r="L219" s="10" t="s">
        <v>23</v>
      </c>
      <c r="M219" s="11">
        <v>44934</v>
      </c>
      <c r="N219" s="44">
        <v>699.99</v>
      </c>
    </row>
    <row r="220" spans="1:14" ht="15.75" customHeight="1">
      <c r="A220" s="43" t="s">
        <v>366</v>
      </c>
      <c r="B220" s="11">
        <v>45711</v>
      </c>
      <c r="C220" s="10" t="s">
        <v>247</v>
      </c>
      <c r="D220" s="10" t="s">
        <v>248</v>
      </c>
      <c r="E220" s="10" t="s">
        <v>81</v>
      </c>
      <c r="F220" s="10" t="s">
        <v>82</v>
      </c>
      <c r="G220" s="10" t="s">
        <v>20</v>
      </c>
      <c r="H220" s="12">
        <v>1</v>
      </c>
      <c r="I220" s="13">
        <v>699.99</v>
      </c>
      <c r="J220" s="10" t="s">
        <v>21</v>
      </c>
      <c r="K220" s="10" t="s">
        <v>41</v>
      </c>
      <c r="L220" s="10" t="s">
        <v>28</v>
      </c>
      <c r="M220" s="11">
        <v>44583</v>
      </c>
      <c r="N220" s="44">
        <v>699.99</v>
      </c>
    </row>
    <row r="221" spans="1:14" ht="15.75" customHeight="1">
      <c r="A221" s="43" t="s">
        <v>367</v>
      </c>
      <c r="B221" s="11">
        <v>45711</v>
      </c>
      <c r="C221" s="10" t="s">
        <v>326</v>
      </c>
      <c r="D221" s="10" t="s">
        <v>327</v>
      </c>
      <c r="E221" s="10" t="s">
        <v>45</v>
      </c>
      <c r="F221" s="10" t="s">
        <v>46</v>
      </c>
      <c r="G221" s="10" t="s">
        <v>47</v>
      </c>
      <c r="H221" s="12">
        <v>4</v>
      </c>
      <c r="I221" s="13">
        <v>149.99</v>
      </c>
      <c r="J221" s="10" t="s">
        <v>35</v>
      </c>
      <c r="K221" s="10" t="s">
        <v>41</v>
      </c>
      <c r="L221" s="10" t="s">
        <v>28</v>
      </c>
      <c r="M221" s="11">
        <v>44412</v>
      </c>
      <c r="N221" s="44">
        <v>599.96</v>
      </c>
    </row>
    <row r="222" spans="1:14" ht="15.75" customHeight="1">
      <c r="A222" s="43" t="s">
        <v>368</v>
      </c>
      <c r="B222" s="11">
        <v>45711</v>
      </c>
      <c r="C222" s="10" t="s">
        <v>212</v>
      </c>
      <c r="D222" s="10" t="s">
        <v>213</v>
      </c>
      <c r="E222" s="10" t="s">
        <v>118</v>
      </c>
      <c r="F222" s="10" t="s">
        <v>119</v>
      </c>
      <c r="G222" s="10" t="s">
        <v>20</v>
      </c>
      <c r="H222" s="12">
        <v>5</v>
      </c>
      <c r="I222" s="13">
        <v>89.99</v>
      </c>
      <c r="J222" s="10" t="s">
        <v>35</v>
      </c>
      <c r="K222" s="10" t="s">
        <v>51</v>
      </c>
      <c r="L222" s="10" t="s">
        <v>28</v>
      </c>
      <c r="M222" s="11">
        <v>45140</v>
      </c>
      <c r="N222" s="44">
        <v>449.95</v>
      </c>
    </row>
    <row r="223" spans="1:14" ht="15.75" customHeight="1">
      <c r="A223" s="43" t="s">
        <v>369</v>
      </c>
      <c r="B223" s="11">
        <v>45712</v>
      </c>
      <c r="C223" s="10" t="s">
        <v>139</v>
      </c>
      <c r="D223" s="10" t="s">
        <v>140</v>
      </c>
      <c r="E223" s="10" t="s">
        <v>127</v>
      </c>
      <c r="F223" s="10" t="s">
        <v>128</v>
      </c>
      <c r="G223" s="10" t="s">
        <v>47</v>
      </c>
      <c r="H223" s="12">
        <v>2</v>
      </c>
      <c r="I223" s="13">
        <v>199.99</v>
      </c>
      <c r="J223" s="10" t="s">
        <v>21</v>
      </c>
      <c r="K223" s="10" t="s">
        <v>22</v>
      </c>
      <c r="L223" s="10" t="s">
        <v>28</v>
      </c>
      <c r="M223" s="11">
        <v>44573</v>
      </c>
      <c r="N223" s="44">
        <v>399.98</v>
      </c>
    </row>
    <row r="224" spans="1:14" ht="15.75" customHeight="1">
      <c r="A224" s="43" t="s">
        <v>370</v>
      </c>
      <c r="B224" s="11">
        <v>45715</v>
      </c>
      <c r="C224" s="10" t="s">
        <v>260</v>
      </c>
      <c r="D224" s="10" t="s">
        <v>261</v>
      </c>
      <c r="E224" s="10" t="s">
        <v>32</v>
      </c>
      <c r="F224" s="10" t="s">
        <v>33</v>
      </c>
      <c r="G224" s="10" t="s">
        <v>34</v>
      </c>
      <c r="H224" s="12">
        <v>4</v>
      </c>
      <c r="I224" s="13">
        <v>59.99</v>
      </c>
      <c r="J224" s="10" t="s">
        <v>21</v>
      </c>
      <c r="K224" s="10" t="s">
        <v>51</v>
      </c>
      <c r="L224" s="10" t="s">
        <v>37</v>
      </c>
      <c r="M224" s="11">
        <v>45070</v>
      </c>
      <c r="N224" s="44">
        <v>239.96</v>
      </c>
    </row>
    <row r="225" spans="1:14" ht="15.75" customHeight="1">
      <c r="A225" s="43" t="s">
        <v>371</v>
      </c>
      <c r="B225" s="11">
        <v>45715</v>
      </c>
      <c r="C225" s="10" t="s">
        <v>94</v>
      </c>
      <c r="D225" s="10" t="s">
        <v>95</v>
      </c>
      <c r="E225" s="10" t="s">
        <v>106</v>
      </c>
      <c r="F225" s="10" t="s">
        <v>107</v>
      </c>
      <c r="G225" s="10" t="s">
        <v>47</v>
      </c>
      <c r="H225" s="12">
        <v>2</v>
      </c>
      <c r="I225" s="13">
        <v>299.99</v>
      </c>
      <c r="J225" s="10" t="s">
        <v>35</v>
      </c>
      <c r="K225" s="10" t="s">
        <v>36</v>
      </c>
      <c r="L225" s="10" t="s">
        <v>23</v>
      </c>
      <c r="M225" s="11">
        <v>44576</v>
      </c>
      <c r="N225" s="44">
        <v>599.98</v>
      </c>
    </row>
    <row r="226" spans="1:14" ht="15.75" customHeight="1">
      <c r="A226" s="43" t="s">
        <v>372</v>
      </c>
      <c r="B226" s="11">
        <v>45718</v>
      </c>
      <c r="C226" s="10" t="s">
        <v>56</v>
      </c>
      <c r="D226" s="10" t="s">
        <v>57</v>
      </c>
      <c r="E226" s="10" t="s">
        <v>45</v>
      </c>
      <c r="F226" s="10" t="s">
        <v>46</v>
      </c>
      <c r="G226" s="10" t="s">
        <v>47</v>
      </c>
      <c r="H226" s="12">
        <v>2</v>
      </c>
      <c r="I226" s="13">
        <v>149.99</v>
      </c>
      <c r="J226" s="10" t="s">
        <v>21</v>
      </c>
      <c r="K226" s="10" t="s">
        <v>22</v>
      </c>
      <c r="L226" s="10" t="s">
        <v>23</v>
      </c>
      <c r="M226" s="11">
        <v>45068</v>
      </c>
      <c r="N226" s="44">
        <v>299.98</v>
      </c>
    </row>
    <row r="227" spans="1:14" ht="15.75" customHeight="1">
      <c r="A227" s="43" t="s">
        <v>373</v>
      </c>
      <c r="B227" s="11">
        <v>45720</v>
      </c>
      <c r="C227" s="10" t="s">
        <v>227</v>
      </c>
      <c r="D227" s="10" t="s">
        <v>228</v>
      </c>
      <c r="E227" s="10" t="s">
        <v>81</v>
      </c>
      <c r="F227" s="10" t="s">
        <v>82</v>
      </c>
      <c r="G227" s="10" t="s">
        <v>20</v>
      </c>
      <c r="H227" s="12">
        <v>5</v>
      </c>
      <c r="I227" s="13">
        <v>699.99</v>
      </c>
      <c r="J227" s="10" t="s">
        <v>58</v>
      </c>
      <c r="K227" s="10" t="s">
        <v>64</v>
      </c>
      <c r="L227" s="10" t="s">
        <v>28</v>
      </c>
      <c r="M227" s="11">
        <v>45161</v>
      </c>
      <c r="N227" s="44">
        <v>3499.95</v>
      </c>
    </row>
    <row r="228" spans="1:14" ht="15.75" customHeight="1">
      <c r="A228" s="43" t="s">
        <v>374</v>
      </c>
      <c r="B228" s="11">
        <v>45721</v>
      </c>
      <c r="C228" s="10" t="s">
        <v>76</v>
      </c>
      <c r="D228" s="10" t="s">
        <v>77</v>
      </c>
      <c r="E228" s="10" t="s">
        <v>32</v>
      </c>
      <c r="F228" s="10" t="s">
        <v>33</v>
      </c>
      <c r="G228" s="10" t="s">
        <v>34</v>
      </c>
      <c r="H228" s="12">
        <v>5</v>
      </c>
      <c r="I228" s="13">
        <v>59.99</v>
      </c>
      <c r="J228" s="10" t="s">
        <v>21</v>
      </c>
      <c r="K228" s="10" t="s">
        <v>51</v>
      </c>
      <c r="L228" s="10" t="s">
        <v>28</v>
      </c>
      <c r="M228" s="11">
        <v>45291</v>
      </c>
      <c r="N228" s="44">
        <v>299.95</v>
      </c>
    </row>
    <row r="229" spans="1:14" ht="15.75" customHeight="1">
      <c r="A229" s="43" t="s">
        <v>375</v>
      </c>
      <c r="B229" s="11">
        <v>45723</v>
      </c>
      <c r="C229" s="10" t="s">
        <v>16</v>
      </c>
      <c r="D229" s="10" t="s">
        <v>17</v>
      </c>
      <c r="E229" s="10" t="s">
        <v>118</v>
      </c>
      <c r="F229" s="10" t="s">
        <v>119</v>
      </c>
      <c r="G229" s="10" t="s">
        <v>20</v>
      </c>
      <c r="H229" s="12">
        <v>2</v>
      </c>
      <c r="I229" s="13">
        <v>89.99</v>
      </c>
      <c r="J229" s="10" t="s">
        <v>27</v>
      </c>
      <c r="K229" s="10" t="s">
        <v>51</v>
      </c>
      <c r="L229" s="10" t="s">
        <v>28</v>
      </c>
      <c r="M229" s="11">
        <v>45295</v>
      </c>
      <c r="N229" s="44">
        <v>179.98</v>
      </c>
    </row>
    <row r="230" spans="1:14" ht="15.75" customHeight="1">
      <c r="A230" s="43" t="s">
        <v>376</v>
      </c>
      <c r="B230" s="11">
        <v>45723</v>
      </c>
      <c r="C230" s="10" t="s">
        <v>121</v>
      </c>
      <c r="D230" s="10" t="s">
        <v>122</v>
      </c>
      <c r="E230" s="10" t="s">
        <v>18</v>
      </c>
      <c r="F230" s="10" t="s">
        <v>19</v>
      </c>
      <c r="G230" s="10" t="s">
        <v>20</v>
      </c>
      <c r="H230" s="12">
        <v>5</v>
      </c>
      <c r="I230" s="13">
        <v>249.99</v>
      </c>
      <c r="J230" s="10" t="s">
        <v>21</v>
      </c>
      <c r="K230" s="10" t="s">
        <v>64</v>
      </c>
      <c r="L230" s="10" t="s">
        <v>37</v>
      </c>
      <c r="M230" s="11">
        <v>44540</v>
      </c>
      <c r="N230" s="44">
        <v>1249.95</v>
      </c>
    </row>
    <row r="231" spans="1:14" ht="15.75" customHeight="1">
      <c r="A231" s="43" t="s">
        <v>377</v>
      </c>
      <c r="B231" s="11">
        <v>45724</v>
      </c>
      <c r="C231" s="10" t="s">
        <v>227</v>
      </c>
      <c r="D231" s="10" t="s">
        <v>228</v>
      </c>
      <c r="E231" s="10" t="s">
        <v>45</v>
      </c>
      <c r="F231" s="10" t="s">
        <v>46</v>
      </c>
      <c r="G231" s="10" t="s">
        <v>47</v>
      </c>
      <c r="H231" s="12">
        <v>2</v>
      </c>
      <c r="I231" s="13">
        <v>149.99</v>
      </c>
      <c r="J231" s="10" t="s">
        <v>35</v>
      </c>
      <c r="K231" s="10" t="s">
        <v>22</v>
      </c>
      <c r="L231" s="10" t="s">
        <v>28</v>
      </c>
      <c r="M231" s="11">
        <v>44632</v>
      </c>
      <c r="N231" s="44">
        <v>299.98</v>
      </c>
    </row>
    <row r="232" spans="1:14" ht="15.75" customHeight="1">
      <c r="A232" s="43" t="s">
        <v>378</v>
      </c>
      <c r="B232" s="11">
        <v>45724</v>
      </c>
      <c r="C232" s="10" t="s">
        <v>145</v>
      </c>
      <c r="D232" s="10" t="s">
        <v>146</v>
      </c>
      <c r="E232" s="10" t="s">
        <v>62</v>
      </c>
      <c r="F232" s="10" t="s">
        <v>63</v>
      </c>
      <c r="G232" s="10" t="s">
        <v>20</v>
      </c>
      <c r="H232" s="12">
        <v>5</v>
      </c>
      <c r="I232" s="13">
        <v>899.99</v>
      </c>
      <c r="J232" s="10" t="s">
        <v>35</v>
      </c>
      <c r="K232" s="10" t="s">
        <v>64</v>
      </c>
      <c r="L232" s="10" t="s">
        <v>28</v>
      </c>
      <c r="M232" s="11">
        <v>45389</v>
      </c>
      <c r="N232" s="44">
        <v>4499.95</v>
      </c>
    </row>
    <row r="233" spans="1:14" ht="15.75" customHeight="1">
      <c r="A233" s="43" t="s">
        <v>379</v>
      </c>
      <c r="B233" s="11">
        <v>45724</v>
      </c>
      <c r="C233" s="10" t="s">
        <v>56</v>
      </c>
      <c r="D233" s="10" t="s">
        <v>57</v>
      </c>
      <c r="E233" s="10" t="s">
        <v>45</v>
      </c>
      <c r="F233" s="10" t="s">
        <v>46</v>
      </c>
      <c r="G233" s="10" t="s">
        <v>47</v>
      </c>
      <c r="H233" s="12">
        <v>4</v>
      </c>
      <c r="I233" s="13">
        <v>149.99</v>
      </c>
      <c r="J233" s="10" t="s">
        <v>21</v>
      </c>
      <c r="K233" s="10" t="s">
        <v>22</v>
      </c>
      <c r="L233" s="10" t="s">
        <v>37</v>
      </c>
      <c r="M233" s="11">
        <v>45263</v>
      </c>
      <c r="N233" s="44">
        <v>599.96</v>
      </c>
    </row>
    <row r="234" spans="1:14" ht="15.75" customHeight="1">
      <c r="A234" s="43" t="s">
        <v>380</v>
      </c>
      <c r="B234" s="11">
        <v>45726</v>
      </c>
      <c r="C234" s="10" t="s">
        <v>145</v>
      </c>
      <c r="D234" s="10" t="s">
        <v>146</v>
      </c>
      <c r="E234" s="10" t="s">
        <v>18</v>
      </c>
      <c r="F234" s="10" t="s">
        <v>19</v>
      </c>
      <c r="G234" s="10" t="s">
        <v>20</v>
      </c>
      <c r="H234" s="12">
        <v>1</v>
      </c>
      <c r="I234" s="13">
        <v>249.99</v>
      </c>
      <c r="J234" s="10" t="s">
        <v>21</v>
      </c>
      <c r="K234" s="10" t="s">
        <v>41</v>
      </c>
      <c r="L234" s="10" t="s">
        <v>37</v>
      </c>
      <c r="M234" s="11">
        <v>45117</v>
      </c>
      <c r="N234" s="44">
        <v>249.99</v>
      </c>
    </row>
    <row r="235" spans="1:14" ht="15.75" customHeight="1">
      <c r="A235" s="43" t="s">
        <v>381</v>
      </c>
      <c r="B235" s="11">
        <v>45734</v>
      </c>
      <c r="C235" s="10" t="s">
        <v>193</v>
      </c>
      <c r="D235" s="10" t="s">
        <v>194</v>
      </c>
      <c r="E235" s="10" t="s">
        <v>32</v>
      </c>
      <c r="F235" s="10" t="s">
        <v>33</v>
      </c>
      <c r="G235" s="10" t="s">
        <v>34</v>
      </c>
      <c r="H235" s="12">
        <v>2</v>
      </c>
      <c r="I235" s="13">
        <v>59.99</v>
      </c>
      <c r="J235" s="10" t="s">
        <v>27</v>
      </c>
      <c r="K235" s="10" t="s">
        <v>51</v>
      </c>
      <c r="L235" s="10" t="s">
        <v>23</v>
      </c>
      <c r="M235" s="11">
        <v>45193</v>
      </c>
      <c r="N235" s="44">
        <v>119.98</v>
      </c>
    </row>
    <row r="236" spans="1:14" ht="15.75" customHeight="1">
      <c r="A236" s="43" t="s">
        <v>382</v>
      </c>
      <c r="B236" s="11">
        <v>45737</v>
      </c>
      <c r="C236" s="10" t="s">
        <v>133</v>
      </c>
      <c r="D236" s="10" t="s">
        <v>134</v>
      </c>
      <c r="E236" s="10" t="s">
        <v>45</v>
      </c>
      <c r="F236" s="10" t="s">
        <v>46</v>
      </c>
      <c r="G236" s="10" t="s">
        <v>47</v>
      </c>
      <c r="H236" s="12">
        <v>2</v>
      </c>
      <c r="I236" s="13">
        <v>149.99</v>
      </c>
      <c r="J236" s="10" t="s">
        <v>21</v>
      </c>
      <c r="K236" s="10" t="s">
        <v>51</v>
      </c>
      <c r="L236" s="10" t="s">
        <v>28</v>
      </c>
      <c r="M236" s="11">
        <v>45233</v>
      </c>
      <c r="N236" s="44">
        <v>299.98</v>
      </c>
    </row>
    <row r="237" spans="1:14" ht="15.75" customHeight="1">
      <c r="A237" s="43" t="s">
        <v>383</v>
      </c>
      <c r="B237" s="11">
        <v>45737</v>
      </c>
      <c r="C237" s="10" t="s">
        <v>151</v>
      </c>
      <c r="D237" s="10" t="s">
        <v>152</v>
      </c>
      <c r="E237" s="10" t="s">
        <v>62</v>
      </c>
      <c r="F237" s="10" t="s">
        <v>63</v>
      </c>
      <c r="G237" s="10" t="s">
        <v>20</v>
      </c>
      <c r="H237" s="12">
        <v>3</v>
      </c>
      <c r="I237" s="13">
        <v>899.99</v>
      </c>
      <c r="J237" s="10" t="s">
        <v>58</v>
      </c>
      <c r="K237" s="10" t="s">
        <v>41</v>
      </c>
      <c r="L237" s="10" t="s">
        <v>28</v>
      </c>
      <c r="M237" s="11">
        <v>44876</v>
      </c>
      <c r="N237" s="44">
        <v>2699.97</v>
      </c>
    </row>
    <row r="238" spans="1:14" ht="15.75" customHeight="1">
      <c r="A238" s="43" t="s">
        <v>384</v>
      </c>
      <c r="B238" s="11">
        <v>45737</v>
      </c>
      <c r="C238" s="10" t="s">
        <v>49</v>
      </c>
      <c r="D238" s="10" t="s">
        <v>50</v>
      </c>
      <c r="E238" s="10" t="s">
        <v>62</v>
      </c>
      <c r="F238" s="10" t="s">
        <v>63</v>
      </c>
      <c r="G238" s="10" t="s">
        <v>20</v>
      </c>
      <c r="H238" s="12">
        <v>3</v>
      </c>
      <c r="I238" s="13">
        <v>899.99</v>
      </c>
      <c r="J238" s="10" t="s">
        <v>35</v>
      </c>
      <c r="K238" s="10" t="s">
        <v>41</v>
      </c>
      <c r="L238" s="10" t="s">
        <v>23</v>
      </c>
      <c r="M238" s="11">
        <v>44975</v>
      </c>
      <c r="N238" s="44">
        <v>2699.97</v>
      </c>
    </row>
    <row r="239" spans="1:14" ht="15.75" customHeight="1">
      <c r="A239" s="43" t="s">
        <v>385</v>
      </c>
      <c r="B239" s="11">
        <v>45739</v>
      </c>
      <c r="C239" s="10" t="s">
        <v>16</v>
      </c>
      <c r="D239" s="10" t="s">
        <v>17</v>
      </c>
      <c r="E239" s="10" t="s">
        <v>106</v>
      </c>
      <c r="F239" s="10" t="s">
        <v>107</v>
      </c>
      <c r="G239" s="10" t="s">
        <v>47</v>
      </c>
      <c r="H239" s="12">
        <v>3</v>
      </c>
      <c r="I239" s="13">
        <v>299.99</v>
      </c>
      <c r="J239" s="10" t="s">
        <v>27</v>
      </c>
      <c r="K239" s="10" t="s">
        <v>51</v>
      </c>
      <c r="L239" s="10" t="s">
        <v>28</v>
      </c>
      <c r="M239" s="11">
        <v>45234</v>
      </c>
      <c r="N239" s="44">
        <v>899.97</v>
      </c>
    </row>
    <row r="240" spans="1:14" ht="15.75" customHeight="1">
      <c r="A240" s="43" t="s">
        <v>386</v>
      </c>
      <c r="B240" s="11">
        <v>45740</v>
      </c>
      <c r="C240" s="10" t="s">
        <v>387</v>
      </c>
      <c r="D240" s="10" t="s">
        <v>388</v>
      </c>
      <c r="E240" s="10" t="s">
        <v>45</v>
      </c>
      <c r="F240" s="10" t="s">
        <v>46</v>
      </c>
      <c r="G240" s="10" t="s">
        <v>47</v>
      </c>
      <c r="H240" s="12">
        <v>4</v>
      </c>
      <c r="I240" s="13">
        <v>149.99</v>
      </c>
      <c r="J240" s="10" t="s">
        <v>35</v>
      </c>
      <c r="K240" s="10" t="s">
        <v>51</v>
      </c>
      <c r="L240" s="10" t="s">
        <v>37</v>
      </c>
      <c r="M240" s="11">
        <v>44560</v>
      </c>
      <c r="N240" s="44">
        <v>599.96</v>
      </c>
    </row>
    <row r="241" spans="1:14" ht="15.75" customHeight="1">
      <c r="A241" s="43" t="s">
        <v>389</v>
      </c>
      <c r="B241" s="11">
        <v>45743</v>
      </c>
      <c r="C241" s="10" t="s">
        <v>103</v>
      </c>
      <c r="D241" s="10" t="s">
        <v>104</v>
      </c>
      <c r="E241" s="10" t="s">
        <v>115</v>
      </c>
      <c r="F241" s="10" t="s">
        <v>116</v>
      </c>
      <c r="G241" s="10" t="s">
        <v>34</v>
      </c>
      <c r="H241" s="12">
        <v>4</v>
      </c>
      <c r="I241" s="13">
        <v>79.989999999999995</v>
      </c>
      <c r="J241" s="10" t="s">
        <v>27</v>
      </c>
      <c r="K241" s="10" t="s">
        <v>22</v>
      </c>
      <c r="L241" s="10" t="s">
        <v>23</v>
      </c>
      <c r="M241" s="11">
        <v>45288</v>
      </c>
      <c r="N241" s="44">
        <v>319.95999999999998</v>
      </c>
    </row>
    <row r="242" spans="1:14" ht="15.75" customHeight="1">
      <c r="A242" s="43" t="s">
        <v>390</v>
      </c>
      <c r="B242" s="11">
        <v>45745</v>
      </c>
      <c r="C242" s="10" t="s">
        <v>186</v>
      </c>
      <c r="D242" s="10" t="s">
        <v>187</v>
      </c>
      <c r="E242" s="10" t="s">
        <v>118</v>
      </c>
      <c r="F242" s="10" t="s">
        <v>119</v>
      </c>
      <c r="G242" s="10" t="s">
        <v>20</v>
      </c>
      <c r="H242" s="12">
        <v>5</v>
      </c>
      <c r="I242" s="13">
        <v>89.99</v>
      </c>
      <c r="J242" s="10" t="s">
        <v>35</v>
      </c>
      <c r="K242" s="10" t="s">
        <v>36</v>
      </c>
      <c r="L242" s="10" t="s">
        <v>23</v>
      </c>
      <c r="M242" s="11">
        <v>44704</v>
      </c>
      <c r="N242" s="44">
        <v>449.95</v>
      </c>
    </row>
    <row r="243" spans="1:14" ht="15.75" customHeight="1">
      <c r="A243" s="43" t="s">
        <v>391</v>
      </c>
      <c r="B243" s="11">
        <v>45746</v>
      </c>
      <c r="C243" s="10" t="s">
        <v>94</v>
      </c>
      <c r="D243" s="10" t="s">
        <v>95</v>
      </c>
      <c r="E243" s="10" t="s">
        <v>45</v>
      </c>
      <c r="F243" s="10" t="s">
        <v>46</v>
      </c>
      <c r="G243" s="10" t="s">
        <v>47</v>
      </c>
      <c r="H243" s="12">
        <v>3</v>
      </c>
      <c r="I243" s="13">
        <v>149.99</v>
      </c>
      <c r="J243" s="10" t="s">
        <v>35</v>
      </c>
      <c r="K243" s="10" t="s">
        <v>22</v>
      </c>
      <c r="L243" s="10" t="s">
        <v>37</v>
      </c>
      <c r="M243" s="11">
        <v>45171</v>
      </c>
      <c r="N243" s="44">
        <v>449.97</v>
      </c>
    </row>
    <row r="244" spans="1:14" ht="15.75" customHeight="1">
      <c r="A244" s="43" t="s">
        <v>392</v>
      </c>
      <c r="B244" s="11">
        <v>45746</v>
      </c>
      <c r="C244" s="10" t="s">
        <v>66</v>
      </c>
      <c r="D244" s="10" t="s">
        <v>67</v>
      </c>
      <c r="E244" s="10" t="s">
        <v>118</v>
      </c>
      <c r="F244" s="10" t="s">
        <v>119</v>
      </c>
      <c r="G244" s="10" t="s">
        <v>20</v>
      </c>
      <c r="H244" s="12">
        <v>2</v>
      </c>
      <c r="I244" s="13">
        <v>89.99</v>
      </c>
      <c r="J244" s="10" t="s">
        <v>58</v>
      </c>
      <c r="K244" s="10" t="s">
        <v>51</v>
      </c>
      <c r="L244" s="10" t="s">
        <v>28</v>
      </c>
      <c r="M244" s="11">
        <v>44522</v>
      </c>
      <c r="N244" s="44">
        <v>179.98</v>
      </c>
    </row>
    <row r="245" spans="1:14" ht="15.75" customHeight="1">
      <c r="A245" s="43" t="s">
        <v>393</v>
      </c>
      <c r="B245" s="11">
        <v>45748</v>
      </c>
      <c r="C245" s="10" t="s">
        <v>103</v>
      </c>
      <c r="D245" s="10" t="s">
        <v>104</v>
      </c>
      <c r="E245" s="10" t="s">
        <v>81</v>
      </c>
      <c r="F245" s="10" t="s">
        <v>82</v>
      </c>
      <c r="G245" s="10" t="s">
        <v>20</v>
      </c>
      <c r="H245" s="12">
        <v>2</v>
      </c>
      <c r="I245" s="13">
        <v>699.99</v>
      </c>
      <c r="J245" s="10" t="s">
        <v>35</v>
      </c>
      <c r="K245" s="10" t="s">
        <v>41</v>
      </c>
      <c r="L245" s="10" t="s">
        <v>37</v>
      </c>
      <c r="M245" s="11">
        <v>44618</v>
      </c>
      <c r="N245" s="44">
        <v>1399.98</v>
      </c>
    </row>
    <row r="246" spans="1:14" ht="15.75" customHeight="1">
      <c r="A246" s="43" t="s">
        <v>394</v>
      </c>
      <c r="B246" s="11">
        <v>45749</v>
      </c>
      <c r="C246" s="10" t="s">
        <v>124</v>
      </c>
      <c r="D246" s="10" t="s">
        <v>125</v>
      </c>
      <c r="E246" s="10" t="s">
        <v>62</v>
      </c>
      <c r="F246" s="10" t="s">
        <v>63</v>
      </c>
      <c r="G246" s="10" t="s">
        <v>20</v>
      </c>
      <c r="H246" s="12">
        <v>3</v>
      </c>
      <c r="I246" s="13">
        <v>899.99</v>
      </c>
      <c r="J246" s="10" t="s">
        <v>21</v>
      </c>
      <c r="K246" s="10" t="s">
        <v>22</v>
      </c>
      <c r="L246" s="10" t="s">
        <v>37</v>
      </c>
      <c r="M246" s="11">
        <v>44953</v>
      </c>
      <c r="N246" s="44">
        <v>2699.97</v>
      </c>
    </row>
    <row r="247" spans="1:14" ht="15.75" customHeight="1">
      <c r="A247" s="43" t="s">
        <v>395</v>
      </c>
      <c r="B247" s="11">
        <v>45755</v>
      </c>
      <c r="C247" s="10" t="s">
        <v>94</v>
      </c>
      <c r="D247" s="10" t="s">
        <v>95</v>
      </c>
      <c r="E247" s="10" t="s">
        <v>115</v>
      </c>
      <c r="F247" s="10" t="s">
        <v>116</v>
      </c>
      <c r="G247" s="10" t="s">
        <v>34</v>
      </c>
      <c r="H247" s="12">
        <v>3</v>
      </c>
      <c r="I247" s="13">
        <v>79.989999999999995</v>
      </c>
      <c r="J247" s="10" t="s">
        <v>27</v>
      </c>
      <c r="K247" s="10" t="s">
        <v>41</v>
      </c>
      <c r="L247" s="10" t="s">
        <v>23</v>
      </c>
      <c r="M247" s="11">
        <v>44511</v>
      </c>
      <c r="N247" s="44">
        <v>239.97</v>
      </c>
    </row>
    <row r="248" spans="1:14" ht="15.75" customHeight="1">
      <c r="A248" s="43" t="s">
        <v>396</v>
      </c>
      <c r="B248" s="11">
        <v>45756</v>
      </c>
      <c r="C248" s="10" t="s">
        <v>60</v>
      </c>
      <c r="D248" s="10" t="s">
        <v>61</v>
      </c>
      <c r="E248" s="10" t="s">
        <v>118</v>
      </c>
      <c r="F248" s="10" t="s">
        <v>119</v>
      </c>
      <c r="G248" s="10" t="s">
        <v>20</v>
      </c>
      <c r="H248" s="12">
        <v>1</v>
      </c>
      <c r="I248" s="13">
        <v>89.99</v>
      </c>
      <c r="J248" s="10" t="s">
        <v>58</v>
      </c>
      <c r="K248" s="10" t="s">
        <v>64</v>
      </c>
      <c r="L248" s="10" t="s">
        <v>23</v>
      </c>
      <c r="M248" s="11">
        <v>45346</v>
      </c>
      <c r="N248" s="44">
        <v>89.99</v>
      </c>
    </row>
    <row r="249" spans="1:14" ht="15.75" customHeight="1">
      <c r="A249" s="43" t="s">
        <v>397</v>
      </c>
      <c r="B249" s="11">
        <v>45758</v>
      </c>
      <c r="C249" s="10" t="s">
        <v>294</v>
      </c>
      <c r="D249" s="10" t="s">
        <v>295</v>
      </c>
      <c r="E249" s="10" t="s">
        <v>81</v>
      </c>
      <c r="F249" s="10" t="s">
        <v>82</v>
      </c>
      <c r="G249" s="10" t="s">
        <v>20</v>
      </c>
      <c r="H249" s="12">
        <v>3</v>
      </c>
      <c r="I249" s="13">
        <v>699.99</v>
      </c>
      <c r="J249" s="10" t="s">
        <v>35</v>
      </c>
      <c r="K249" s="10" t="s">
        <v>41</v>
      </c>
      <c r="L249" s="10" t="s">
        <v>23</v>
      </c>
      <c r="M249" s="11">
        <v>44909</v>
      </c>
      <c r="N249" s="44">
        <v>2099.9699999999998</v>
      </c>
    </row>
    <row r="250" spans="1:14" ht="15.75" customHeight="1">
      <c r="A250" s="43" t="s">
        <v>398</v>
      </c>
      <c r="B250" s="11">
        <v>45758</v>
      </c>
      <c r="C250" s="10" t="s">
        <v>227</v>
      </c>
      <c r="D250" s="10" t="s">
        <v>228</v>
      </c>
      <c r="E250" s="10" t="s">
        <v>118</v>
      </c>
      <c r="F250" s="10" t="s">
        <v>119</v>
      </c>
      <c r="G250" s="10" t="s">
        <v>20</v>
      </c>
      <c r="H250" s="12">
        <v>2</v>
      </c>
      <c r="I250" s="13">
        <v>89.99</v>
      </c>
      <c r="J250" s="10" t="s">
        <v>58</v>
      </c>
      <c r="K250" s="10" t="s">
        <v>64</v>
      </c>
      <c r="L250" s="10" t="s">
        <v>23</v>
      </c>
      <c r="M250" s="11">
        <v>45088</v>
      </c>
      <c r="N250" s="44">
        <v>179.98</v>
      </c>
    </row>
    <row r="251" spans="1:14" ht="15.75" customHeight="1">
      <c r="A251" s="51" t="s">
        <v>399</v>
      </c>
      <c r="B251" s="52">
        <v>45758</v>
      </c>
      <c r="C251" s="53" t="s">
        <v>139</v>
      </c>
      <c r="D251" s="53" t="s">
        <v>140</v>
      </c>
      <c r="E251" s="53" t="s">
        <v>118</v>
      </c>
      <c r="F251" s="53" t="s">
        <v>119</v>
      </c>
      <c r="G251" s="53" t="s">
        <v>20</v>
      </c>
      <c r="H251" s="54">
        <v>3</v>
      </c>
      <c r="I251" s="55">
        <v>89.99</v>
      </c>
      <c r="J251" s="53" t="s">
        <v>58</v>
      </c>
      <c r="K251" s="53" t="s">
        <v>41</v>
      </c>
      <c r="L251" s="53" t="s">
        <v>28</v>
      </c>
      <c r="M251" s="52">
        <v>44878</v>
      </c>
      <c r="N251" s="56">
        <v>269.97000000000003</v>
      </c>
    </row>
    <row r="252" spans="1:14" ht="15.75" customHeight="1"/>
    <row r="253" spans="1:14" ht="15.75" customHeight="1"/>
    <row r="254" spans="1:14" ht="15.75" customHeight="1"/>
    <row r="255" spans="1:14" ht="15.75" customHeight="1"/>
    <row r="256" spans="1:1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6C229-19E5-45A1-91BE-FCCD001AAF58}">
  <dimension ref="A1:H38"/>
  <sheetViews>
    <sheetView view="pageBreakPreview" topLeftCell="B1" zoomScale="60" zoomScaleNormal="85" workbookViewId="0">
      <selection activeCell="C1" sqref="C1"/>
    </sheetView>
  </sheetViews>
  <sheetFormatPr defaultRowHeight="14.4"/>
  <cols>
    <col min="1" max="1" width="24.5546875" customWidth="1"/>
    <col min="2" max="2" width="20.5546875" customWidth="1"/>
    <col min="3" max="4" width="16.44140625" customWidth="1"/>
    <col min="5" max="5" width="15.21875" customWidth="1"/>
    <col min="6" max="6" width="20.77734375" customWidth="1"/>
    <col min="7" max="7" width="15.6640625" customWidth="1"/>
    <col min="8" max="8" width="30.21875" customWidth="1"/>
  </cols>
  <sheetData>
    <row r="1" spans="1:8" ht="15.6">
      <c r="A1" s="14" t="s">
        <v>421</v>
      </c>
      <c r="B1" s="18" t="s">
        <v>422</v>
      </c>
    </row>
    <row r="2" spans="1:8">
      <c r="A2" s="27" t="s">
        <v>424</v>
      </c>
      <c r="B2" s="23">
        <f ca="1">TODAY()</f>
        <v>46171</v>
      </c>
    </row>
    <row r="3" spans="1:8">
      <c r="A3" s="27" t="s">
        <v>425</v>
      </c>
      <c r="B3" s="24">
        <f ca="1">NOW()</f>
        <v>46171.710443634256</v>
      </c>
    </row>
    <row r="4" spans="1:8">
      <c r="A4" s="28" t="s">
        <v>426</v>
      </c>
      <c r="B4" s="25">
        <f ca="1">YEAR(TODAY())</f>
        <v>2026</v>
      </c>
    </row>
    <row r="5" spans="1:8">
      <c r="A5" s="28" t="s">
        <v>427</v>
      </c>
      <c r="B5" s="25">
        <f ca="1">MONTH(TODAY())</f>
        <v>5</v>
      </c>
    </row>
    <row r="6" spans="1:8">
      <c r="A6" s="28" t="s">
        <v>428</v>
      </c>
      <c r="B6" s="26" t="str">
        <f ca="1">TEXT(TODAY(),"DD-MMM-YYYY")</f>
        <v>29-May-2026</v>
      </c>
    </row>
    <row r="7" spans="1:8">
      <c r="A7" s="28" t="s">
        <v>429</v>
      </c>
      <c r="B7" s="26" t="str">
        <f ca="1">TEXT(NOW(),"HH:MM AM/PM")</f>
        <v>05:03 PM</v>
      </c>
    </row>
    <row r="10" spans="1:8" ht="15.6">
      <c r="A10" s="18" t="s">
        <v>3</v>
      </c>
      <c r="B10" s="18" t="s">
        <v>4</v>
      </c>
      <c r="C10" s="18" t="s">
        <v>13</v>
      </c>
      <c r="D10" s="18" t="s">
        <v>424</v>
      </c>
      <c r="E10" s="18" t="s">
        <v>446</v>
      </c>
      <c r="F10" s="18" t="s">
        <v>447</v>
      </c>
      <c r="G10" s="18" t="s">
        <v>448</v>
      </c>
      <c r="H10" s="18" t="s">
        <v>449</v>
      </c>
    </row>
    <row r="11" spans="1:8">
      <c r="A11" s="21" t="str">
        <f>'Final Project Dataset'!C2</f>
        <v>CUST023</v>
      </c>
      <c r="B11" s="22" t="str">
        <f>'Final Project Dataset'!D2</f>
        <v>Paul Baker</v>
      </c>
      <c r="C11" s="32">
        <f>'Final Project Dataset'!M2</f>
        <v>44425</v>
      </c>
      <c r="D11" s="33">
        <f ca="1">TODAY()</f>
        <v>46171</v>
      </c>
      <c r="E11" s="21">
        <f ca="1">DATEDIF(C11,D11,"Y")</f>
        <v>4</v>
      </c>
      <c r="F11" s="21">
        <f ca="1">DATEDIF(C11,D11,"M")</f>
        <v>57</v>
      </c>
      <c r="G11" s="34">
        <f ca="1">DATEDIF(C11,D11,"D")</f>
        <v>1746</v>
      </c>
      <c r="H11" s="21" t="str">
        <f ca="1">E11&amp;" Yrs, "&amp;DATEDIF(C11,D11,"YM")&amp;" Months"</f>
        <v>4 Yrs, 9 Months</v>
      </c>
    </row>
    <row r="12" spans="1:8">
      <c r="A12" s="21" t="str">
        <f>'Final Project Dataset'!C3</f>
        <v>CUST013</v>
      </c>
      <c r="B12" s="22" t="str">
        <f>'Final Project Dataset'!D3</f>
        <v>Joseph Jackson</v>
      </c>
      <c r="C12" s="32">
        <f>'Final Project Dataset'!M3</f>
        <v>44575</v>
      </c>
      <c r="D12" s="33">
        <f t="shared" ref="D12:D20" ca="1" si="0">TODAY()</f>
        <v>46171</v>
      </c>
      <c r="E12" s="21">
        <f t="shared" ref="E12:E20" ca="1" si="1">DATEDIF(C12,D12,"Y")</f>
        <v>4</v>
      </c>
      <c r="F12" s="21">
        <f t="shared" ref="F12:F20" ca="1" si="2">DATEDIF(C12,D12,"M")</f>
        <v>52</v>
      </c>
      <c r="G12" s="34">
        <f ca="1">DATEDIF(C12,D12,"D")</f>
        <v>1596</v>
      </c>
      <c r="H12" s="21" t="str">
        <f t="shared" ref="H12:H20" ca="1" si="3">E12&amp;" Yrs, "&amp;DATEDIF(C12,D12,"YM")&amp;" Months"</f>
        <v>4 Yrs, 4 Months</v>
      </c>
    </row>
    <row r="13" spans="1:8">
      <c r="A13" s="21" t="str">
        <f>'Final Project Dataset'!C4</f>
        <v>CUST021</v>
      </c>
      <c r="B13" s="22" t="str">
        <f>'Final Project Dataset'!D4</f>
        <v>Kevin Scott</v>
      </c>
      <c r="C13" s="32">
        <f>'Final Project Dataset'!M4</f>
        <v>45262</v>
      </c>
      <c r="D13" s="33">
        <f t="shared" ca="1" si="0"/>
        <v>46171</v>
      </c>
      <c r="E13" s="21">
        <f t="shared" ca="1" si="1"/>
        <v>2</v>
      </c>
      <c r="F13" s="21">
        <f t="shared" ca="1" si="2"/>
        <v>29</v>
      </c>
      <c r="G13" s="34">
        <f t="shared" ref="G13:G20" ca="1" si="4">DATEDIF(C13,D13,"D")</f>
        <v>909</v>
      </c>
      <c r="H13" s="21" t="str">
        <f t="shared" ca="1" si="3"/>
        <v>2 Yrs, 5 Months</v>
      </c>
    </row>
    <row r="14" spans="1:8">
      <c r="A14" s="21" t="str">
        <f>'Final Project Dataset'!C5</f>
        <v>CUST046</v>
      </c>
      <c r="B14" s="22" t="str">
        <f>'Final Project Dataset'!D5</f>
        <v>Kathleen Bennett</v>
      </c>
      <c r="C14" s="32">
        <f>'Final Project Dataset'!M5</f>
        <v>45114</v>
      </c>
      <c r="D14" s="33">
        <f t="shared" ca="1" si="0"/>
        <v>46171</v>
      </c>
      <c r="E14" s="21">
        <f t="shared" ca="1" si="1"/>
        <v>2</v>
      </c>
      <c r="F14" s="21">
        <f t="shared" ca="1" si="2"/>
        <v>34</v>
      </c>
      <c r="G14" s="34">
        <f t="shared" ca="1" si="4"/>
        <v>1057</v>
      </c>
      <c r="H14" s="21" t="str">
        <f t="shared" ca="1" si="3"/>
        <v>2 Yrs, 10 Months</v>
      </c>
    </row>
    <row r="15" spans="1:8">
      <c r="A15" s="21" t="str">
        <f>'Final Project Dataset'!C6</f>
        <v>CUST003</v>
      </c>
      <c r="B15" s="22" t="str">
        <f>'Final Project Dataset'!D6</f>
        <v>Michael Brown</v>
      </c>
      <c r="C15" s="32">
        <f>'Final Project Dataset'!M6</f>
        <v>45295</v>
      </c>
      <c r="D15" s="33">
        <f t="shared" ca="1" si="0"/>
        <v>46171</v>
      </c>
      <c r="E15" s="21">
        <f t="shared" ca="1" si="1"/>
        <v>2</v>
      </c>
      <c r="F15" s="21">
        <f t="shared" ca="1" si="2"/>
        <v>28</v>
      </c>
      <c r="G15" s="34">
        <f t="shared" ca="1" si="4"/>
        <v>876</v>
      </c>
      <c r="H15" s="21" t="str">
        <f t="shared" ca="1" si="3"/>
        <v>2 Yrs, 4 Months</v>
      </c>
    </row>
    <row r="16" spans="1:8">
      <c r="A16" s="21" t="str">
        <f>'Final Project Dataset'!C7</f>
        <v>CUST024</v>
      </c>
      <c r="B16" s="22" t="str">
        <f>'Final Project Dataset'!D7</f>
        <v>Dorothy Nelson</v>
      </c>
      <c r="C16" s="32">
        <f>'Final Project Dataset'!M7</f>
        <v>44746</v>
      </c>
      <c r="D16" s="33">
        <f t="shared" ca="1" si="0"/>
        <v>46171</v>
      </c>
      <c r="E16" s="21">
        <f t="shared" ca="1" si="1"/>
        <v>3</v>
      </c>
      <c r="F16" s="21">
        <f t="shared" ca="1" si="2"/>
        <v>46</v>
      </c>
      <c r="G16" s="34">
        <f t="shared" ca="1" si="4"/>
        <v>1425</v>
      </c>
      <c r="H16" s="21" t="str">
        <f t="shared" ca="1" si="3"/>
        <v>3 Yrs, 10 Months</v>
      </c>
    </row>
    <row r="17" spans="1:8">
      <c r="A17" s="21" t="str">
        <f>'Final Project Dataset'!C8</f>
        <v>CUST024</v>
      </c>
      <c r="B17" s="22" t="str">
        <f>'Final Project Dataset'!D8</f>
        <v>Dorothy Nelson</v>
      </c>
      <c r="C17" s="32">
        <f>'Final Project Dataset'!M8</f>
        <v>44418</v>
      </c>
      <c r="D17" s="33">
        <f t="shared" ca="1" si="0"/>
        <v>46171</v>
      </c>
      <c r="E17" s="21">
        <f t="shared" ca="1" si="1"/>
        <v>4</v>
      </c>
      <c r="F17" s="21">
        <f t="shared" ca="1" si="2"/>
        <v>57</v>
      </c>
      <c r="G17" s="34">
        <f t="shared" ca="1" si="4"/>
        <v>1753</v>
      </c>
      <c r="H17" s="21" t="str">
        <f t="shared" ca="1" si="3"/>
        <v>4 Yrs, 9 Months</v>
      </c>
    </row>
    <row r="18" spans="1:8">
      <c r="A18" s="21" t="str">
        <f>'Final Project Dataset'!C9</f>
        <v>CUST017</v>
      </c>
      <c r="B18" s="22" t="str">
        <f>'Final Project Dataset'!D9</f>
        <v>Charles Allen</v>
      </c>
      <c r="C18" s="32">
        <f>'Final Project Dataset'!M9</f>
        <v>45007</v>
      </c>
      <c r="D18" s="33">
        <f t="shared" ca="1" si="0"/>
        <v>46171</v>
      </c>
      <c r="E18" s="21">
        <f t="shared" ca="1" si="1"/>
        <v>3</v>
      </c>
      <c r="F18" s="21">
        <f t="shared" ca="1" si="2"/>
        <v>38</v>
      </c>
      <c r="G18" s="34">
        <f t="shared" ca="1" si="4"/>
        <v>1164</v>
      </c>
      <c r="H18" s="21" t="str">
        <f t="shared" ca="1" si="3"/>
        <v>3 Yrs, 2 Months</v>
      </c>
    </row>
    <row r="19" spans="1:8">
      <c r="A19" s="21" t="str">
        <f>'Final Project Dataset'!C10</f>
        <v>CUST009</v>
      </c>
      <c r="B19" s="22" t="str">
        <f>'Final Project Dataset'!D10</f>
        <v>Robert Thomas</v>
      </c>
      <c r="C19" s="32">
        <f>'Final Project Dataset'!M10</f>
        <v>45299</v>
      </c>
      <c r="D19" s="33">
        <f t="shared" ca="1" si="0"/>
        <v>46171</v>
      </c>
      <c r="E19" s="21">
        <f t="shared" ca="1" si="1"/>
        <v>2</v>
      </c>
      <c r="F19" s="21">
        <f t="shared" ca="1" si="2"/>
        <v>28</v>
      </c>
      <c r="G19" s="34">
        <f t="shared" ca="1" si="4"/>
        <v>872</v>
      </c>
      <c r="H19" s="21" t="str">
        <f t="shared" ca="1" si="3"/>
        <v>2 Yrs, 4 Months</v>
      </c>
    </row>
    <row r="20" spans="1:8">
      <c r="A20" s="21" t="str">
        <f>'Final Project Dataset'!C11</f>
        <v>CUST026</v>
      </c>
      <c r="B20" s="22" t="str">
        <f>'Final Project Dataset'!D11</f>
        <v>Karen Hill</v>
      </c>
      <c r="C20" s="32">
        <f>'Final Project Dataset'!M11</f>
        <v>45207</v>
      </c>
      <c r="D20" s="33">
        <f t="shared" ca="1" si="0"/>
        <v>46171</v>
      </c>
      <c r="E20" s="21">
        <f t="shared" ca="1" si="1"/>
        <v>2</v>
      </c>
      <c r="F20" s="21">
        <f t="shared" ca="1" si="2"/>
        <v>31</v>
      </c>
      <c r="G20" s="34">
        <f t="shared" ca="1" si="4"/>
        <v>964</v>
      </c>
      <c r="H20" s="21" t="str">
        <f t="shared" ca="1" si="3"/>
        <v>2 Yrs, 7 Months</v>
      </c>
    </row>
    <row r="23" spans="1:8" ht="15.6">
      <c r="A23" s="18" t="s">
        <v>430</v>
      </c>
      <c r="B23" s="18" t="s">
        <v>423</v>
      </c>
    </row>
    <row r="24" spans="1:8">
      <c r="A24" s="31" t="s">
        <v>431</v>
      </c>
      <c r="B24" s="19">
        <f ca="1">EOMONTH(TODAY(),0)</f>
        <v>46173</v>
      </c>
    </row>
    <row r="25" spans="1:8">
      <c r="A25" s="31" t="s">
        <v>432</v>
      </c>
      <c r="B25" s="29">
        <f ca="1">EOMONTH(TODAY(),1)</f>
        <v>46203</v>
      </c>
    </row>
    <row r="26" spans="1:8">
      <c r="A26" s="31" t="s">
        <v>433</v>
      </c>
      <c r="B26" s="30">
        <f ca="1">EOMONTH(TODAY(),-1)</f>
        <v>46142</v>
      </c>
    </row>
    <row r="27" spans="1:8">
      <c r="A27" s="31" t="s">
        <v>434</v>
      </c>
      <c r="B27" s="19">
        <f ca="1">EOMONTH(TODAY(),-1)+1</f>
        <v>46143</v>
      </c>
    </row>
    <row r="28" spans="1:8">
      <c r="A28" s="31" t="s">
        <v>435</v>
      </c>
      <c r="B28" s="30">
        <f ca="1">EOMONTH(TODAY(),0)-TODAY()</f>
        <v>2</v>
      </c>
    </row>
    <row r="29" spans="1:8">
      <c r="A29" s="31" t="s">
        <v>436</v>
      </c>
      <c r="B29" s="19">
        <f>EOMONTH(MAX('Final Project Dataset'!B2:B251),0)</f>
        <v>45777</v>
      </c>
    </row>
    <row r="30" spans="1:8">
      <c r="A30" s="31" t="s">
        <v>437</v>
      </c>
      <c r="B30" s="30">
        <f>EOMONTH(MIN('Final Project Dataset'!B2:B251),0)</f>
        <v>45412</v>
      </c>
    </row>
    <row r="31" spans="1:8">
      <c r="B31" s="7"/>
    </row>
    <row r="32" spans="1:8">
      <c r="B32" s="7"/>
    </row>
    <row r="33" spans="1:8" ht="15.6">
      <c r="A33" s="14" t="s">
        <v>438</v>
      </c>
      <c r="B33" s="35" t="s">
        <v>439</v>
      </c>
      <c r="C33" s="35" t="s">
        <v>440</v>
      </c>
      <c r="D33" s="14" t="s">
        <v>441</v>
      </c>
      <c r="E33" s="35" t="s">
        <v>442</v>
      </c>
      <c r="F33" s="35" t="s">
        <v>443</v>
      </c>
      <c r="G33" s="35" t="s">
        <v>444</v>
      </c>
      <c r="H33" s="14" t="s">
        <v>445</v>
      </c>
    </row>
    <row r="34" spans="1:8">
      <c r="A34" s="21" t="str">
        <f>'Final Project Dataset'!A2</f>
        <v>TRX0155</v>
      </c>
      <c r="B34" s="32">
        <f>'Final Project Dataset'!B2</f>
        <v>45393</v>
      </c>
      <c r="C34" s="20">
        <f ca="1">TODAY()</f>
        <v>46171</v>
      </c>
      <c r="D34" s="21">
        <f ca="1">DATEDIF(B34,C34,"D")</f>
        <v>778</v>
      </c>
      <c r="E34" s="21">
        <f ca="1">DATEDIF(B34,C34,"M")</f>
        <v>25</v>
      </c>
      <c r="F34" s="20">
        <f>EOMONTH(B34,0)</f>
        <v>45412</v>
      </c>
      <c r="G34" s="21">
        <f>YEAR(B34)</f>
        <v>2024</v>
      </c>
      <c r="H34" s="21" t="str">
        <f>TEXT(B34,"MMMM")</f>
        <v>April</v>
      </c>
    </row>
    <row r="35" spans="1:8">
      <c r="A35" s="21" t="str">
        <f>'Final Project Dataset'!A3</f>
        <v>TRX0023</v>
      </c>
      <c r="B35" s="32">
        <f>'Final Project Dataset'!B3</f>
        <v>45396</v>
      </c>
      <c r="C35" s="20">
        <f t="shared" ref="C35:C38" ca="1" si="5">TODAY()</f>
        <v>46171</v>
      </c>
      <c r="D35" s="21">
        <f t="shared" ref="D35:D38" ca="1" si="6">DATEDIF(B35,C35,"D")</f>
        <v>775</v>
      </c>
      <c r="E35" s="21">
        <f t="shared" ref="E35:E38" ca="1" si="7">DATEDIF(B35,C35,"M")</f>
        <v>25</v>
      </c>
      <c r="F35" s="20">
        <f t="shared" ref="F35:F38" si="8">EOMONTH(B35,0)</f>
        <v>45412</v>
      </c>
      <c r="G35" s="21">
        <f t="shared" ref="G35:G38" si="9">YEAR(B35)</f>
        <v>2024</v>
      </c>
      <c r="H35" s="21" t="str">
        <f t="shared" ref="H35:H38" si="10">TEXT(B35,"MMMM")</f>
        <v>April</v>
      </c>
    </row>
    <row r="36" spans="1:8">
      <c r="A36" s="21" t="str">
        <f>'Final Project Dataset'!A4</f>
        <v>TRX0139</v>
      </c>
      <c r="B36" s="32">
        <f>'Final Project Dataset'!B4</f>
        <v>45399</v>
      </c>
      <c r="C36" s="20">
        <f t="shared" ca="1" si="5"/>
        <v>46171</v>
      </c>
      <c r="D36" s="21">
        <f t="shared" ca="1" si="6"/>
        <v>772</v>
      </c>
      <c r="E36" s="21">
        <f t="shared" ca="1" si="7"/>
        <v>25</v>
      </c>
      <c r="F36" s="20">
        <f t="shared" si="8"/>
        <v>45412</v>
      </c>
      <c r="G36" s="21">
        <f t="shared" si="9"/>
        <v>2024</v>
      </c>
      <c r="H36" s="21" t="str">
        <f t="shared" si="10"/>
        <v>April</v>
      </c>
    </row>
    <row r="37" spans="1:8">
      <c r="A37" s="21" t="str">
        <f>'Final Project Dataset'!A5</f>
        <v>TRX0043</v>
      </c>
      <c r="B37" s="32">
        <f>'Final Project Dataset'!B5</f>
        <v>45400</v>
      </c>
      <c r="C37" s="20">
        <f t="shared" ca="1" si="5"/>
        <v>46171</v>
      </c>
      <c r="D37" s="21">
        <f t="shared" ca="1" si="6"/>
        <v>771</v>
      </c>
      <c r="E37" s="21">
        <f t="shared" ca="1" si="7"/>
        <v>25</v>
      </c>
      <c r="F37" s="20">
        <f t="shared" si="8"/>
        <v>45412</v>
      </c>
      <c r="G37" s="21">
        <f t="shared" si="9"/>
        <v>2024</v>
      </c>
      <c r="H37" s="21" t="str">
        <f t="shared" si="10"/>
        <v>April</v>
      </c>
    </row>
    <row r="38" spans="1:8">
      <c r="A38" s="21" t="str">
        <f>'Final Project Dataset'!A6</f>
        <v>TRX0212</v>
      </c>
      <c r="B38" s="32">
        <f>'Final Project Dataset'!B6</f>
        <v>45400</v>
      </c>
      <c r="C38" s="20">
        <f t="shared" ca="1" si="5"/>
        <v>46171</v>
      </c>
      <c r="D38" s="21">
        <f t="shared" ca="1" si="6"/>
        <v>771</v>
      </c>
      <c r="E38" s="21">
        <f t="shared" ca="1" si="7"/>
        <v>25</v>
      </c>
      <c r="F38" s="20">
        <f t="shared" si="8"/>
        <v>45412</v>
      </c>
      <c r="G38" s="21">
        <f t="shared" si="9"/>
        <v>2024</v>
      </c>
      <c r="H38" s="21" t="str">
        <f t="shared" si="10"/>
        <v>April</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686F0-EF0E-425D-86C0-0ADC3AEB9042}">
  <dimension ref="A1:N231"/>
  <sheetViews>
    <sheetView view="pageBreakPreview" zoomScale="60" zoomScaleNormal="80" workbookViewId="0"/>
  </sheetViews>
  <sheetFormatPr defaultRowHeight="14.4"/>
  <cols>
    <col min="1" max="1" width="25.88671875" customWidth="1"/>
    <col min="2" max="2" width="22" style="7" customWidth="1"/>
    <col min="3" max="3" width="18.33203125" customWidth="1"/>
    <col min="4" max="4" width="26.109375" customWidth="1"/>
    <col min="5" max="5" width="22.88671875" customWidth="1"/>
    <col min="6" max="6" width="20" customWidth="1"/>
    <col min="7" max="7" width="14.109375" style="8" customWidth="1"/>
    <col min="8" max="8" width="12.6640625" style="9" customWidth="1"/>
    <col min="9" max="9" width="22.5546875" customWidth="1"/>
    <col min="10" max="10" width="19" customWidth="1"/>
    <col min="11" max="11" width="22.21875" customWidth="1"/>
    <col min="12" max="12" width="19.5546875" customWidth="1"/>
    <col min="13" max="13" width="17.77734375" style="7" customWidth="1"/>
    <col min="14" max="14" width="16.77734375" customWidth="1"/>
  </cols>
  <sheetData>
    <row r="1" spans="1:14" ht="15.6">
      <c r="A1" s="14" t="s">
        <v>1</v>
      </c>
      <c r="B1" s="15" t="s">
        <v>2</v>
      </c>
      <c r="C1" s="14" t="s">
        <v>3</v>
      </c>
      <c r="D1" s="14" t="s">
        <v>4</v>
      </c>
      <c r="E1" s="14" t="s">
        <v>5</v>
      </c>
      <c r="F1" s="14" t="s">
        <v>6</v>
      </c>
      <c r="G1" s="14" t="s">
        <v>7</v>
      </c>
      <c r="H1" s="16" t="s">
        <v>8</v>
      </c>
      <c r="I1" s="17" t="s">
        <v>9</v>
      </c>
      <c r="J1" s="14" t="s">
        <v>10</v>
      </c>
      <c r="K1" s="14" t="s">
        <v>11</v>
      </c>
      <c r="L1" s="14" t="s">
        <v>12</v>
      </c>
      <c r="M1" s="15" t="s">
        <v>13</v>
      </c>
      <c r="N1" s="14" t="s">
        <v>14</v>
      </c>
    </row>
    <row r="2" spans="1:14" ht="21">
      <c r="A2" s="41"/>
      <c r="B2" s="42"/>
      <c r="C2" s="37"/>
      <c r="D2" s="123" t="s">
        <v>450</v>
      </c>
      <c r="E2" s="124"/>
      <c r="F2" s="124"/>
      <c r="G2" s="125"/>
      <c r="H2" s="40"/>
      <c r="I2" s="37"/>
      <c r="J2" s="37"/>
      <c r="K2" s="37"/>
      <c r="L2" s="37"/>
      <c r="M2" s="29"/>
      <c r="N2" s="37"/>
    </row>
    <row r="3" spans="1:14">
      <c r="A3" s="21" t="str" cm="1">
        <f t="array" ref="A3:N133">_xlfn._xlws.FILTER('Final Project Dataset'!A2:N251,'Final Project Dataset'!G2:G251="Electronics")</f>
        <v>TRX0155</v>
      </c>
      <c r="B3" s="36">
        <v>45393</v>
      </c>
      <c r="C3" s="34" t="str">
        <v>CUST023</v>
      </c>
      <c r="D3" s="34" t="str">
        <v>Paul Baker</v>
      </c>
      <c r="E3" s="34" t="str">
        <v>P009</v>
      </c>
      <c r="F3" s="34" t="str">
        <v>Monitor</v>
      </c>
      <c r="G3" s="38" t="str">
        <v>Electronics</v>
      </c>
      <c r="H3" s="39">
        <v>3</v>
      </c>
      <c r="I3" s="34">
        <v>249.99</v>
      </c>
      <c r="J3" s="34" t="str">
        <v>Cash</v>
      </c>
      <c r="K3" s="34" t="str">
        <v>Central</v>
      </c>
      <c r="L3" s="34" t="str">
        <v>Basic</v>
      </c>
      <c r="M3" s="36">
        <v>44425</v>
      </c>
      <c r="N3" s="34">
        <v>749.97</v>
      </c>
    </row>
    <row r="4" spans="1:14">
      <c r="A4" s="21" t="str">
        <v>TRX0023</v>
      </c>
      <c r="B4" s="36">
        <v>45396</v>
      </c>
      <c r="C4" s="34" t="str">
        <v>CUST013</v>
      </c>
      <c r="D4" s="34" t="str">
        <v>Joseph Jackson</v>
      </c>
      <c r="E4" s="34" t="str">
        <v>P009</v>
      </c>
      <c r="F4" s="34" t="str">
        <v>Monitor</v>
      </c>
      <c r="G4" s="38" t="str">
        <v>Electronics</v>
      </c>
      <c r="H4" s="39">
        <v>3</v>
      </c>
      <c r="I4" s="34">
        <v>249.99</v>
      </c>
      <c r="J4" s="34" t="str">
        <v>Credit Card</v>
      </c>
      <c r="K4" s="34" t="str">
        <v>Central</v>
      </c>
      <c r="L4" s="34" t="str">
        <v>Premium</v>
      </c>
      <c r="M4" s="36">
        <v>44575</v>
      </c>
      <c r="N4" s="34">
        <v>749.97</v>
      </c>
    </row>
    <row r="5" spans="1:14">
      <c r="A5" s="34" t="str">
        <v>TRX0193</v>
      </c>
      <c r="B5" s="36">
        <v>45403</v>
      </c>
      <c r="C5" s="34" t="str">
        <v>CUST024</v>
      </c>
      <c r="D5" s="34" t="str">
        <v>Dorothy Nelson</v>
      </c>
      <c r="E5" s="34" t="str">
        <v>P003</v>
      </c>
      <c r="F5" s="34" t="str">
        <v>Headphones</v>
      </c>
      <c r="G5" s="38" t="str">
        <v>Electronics</v>
      </c>
      <c r="H5" s="39">
        <v>5</v>
      </c>
      <c r="I5" s="34">
        <v>149.99</v>
      </c>
      <c r="J5" s="34" t="str">
        <v>Credit Card</v>
      </c>
      <c r="K5" s="34" t="str">
        <v>Central</v>
      </c>
      <c r="L5" s="34" t="str">
        <v>Standard</v>
      </c>
      <c r="M5" s="36">
        <v>44418</v>
      </c>
      <c r="N5" s="34">
        <v>749.95</v>
      </c>
    </row>
    <row r="6" spans="1:14">
      <c r="A6" s="34" t="str">
        <v>TRX0135</v>
      </c>
      <c r="B6" s="36">
        <v>45405</v>
      </c>
      <c r="C6" s="34" t="str">
        <v>CUST009</v>
      </c>
      <c r="D6" s="34" t="str">
        <v>Robert Thomas</v>
      </c>
      <c r="E6" s="34" t="str">
        <v>P001</v>
      </c>
      <c r="F6" s="34" t="str">
        <v>Laptop</v>
      </c>
      <c r="G6" s="38" t="str">
        <v>Electronics</v>
      </c>
      <c r="H6" s="39">
        <v>3</v>
      </c>
      <c r="I6" s="34">
        <v>899.99</v>
      </c>
      <c r="J6" s="34" t="str">
        <v>PayPal</v>
      </c>
      <c r="K6" s="34" t="str">
        <v>East</v>
      </c>
      <c r="L6" s="34" t="str">
        <v>Standard</v>
      </c>
      <c r="M6" s="36">
        <v>45299</v>
      </c>
      <c r="N6" s="34">
        <v>2699.97</v>
      </c>
    </row>
    <row r="7" spans="1:14">
      <c r="A7" s="34" t="str">
        <v>TRX0191</v>
      </c>
      <c r="B7" s="36">
        <v>45409</v>
      </c>
      <c r="C7" s="34" t="str">
        <v>CUST038</v>
      </c>
      <c r="D7" s="34" t="str">
        <v>Michelle Rogers</v>
      </c>
      <c r="E7" s="34" t="str">
        <v>P002</v>
      </c>
      <c r="F7" s="34" t="str">
        <v>Smartphone</v>
      </c>
      <c r="G7" s="38" t="str">
        <v>Electronics</v>
      </c>
      <c r="H7" s="39">
        <v>3</v>
      </c>
      <c r="I7" s="34">
        <v>699.99</v>
      </c>
      <c r="J7" s="34" t="str">
        <v>Credit Card</v>
      </c>
      <c r="K7" s="34" t="str">
        <v>West</v>
      </c>
      <c r="L7" s="34" t="str">
        <v>Basic</v>
      </c>
      <c r="M7" s="36">
        <v>44577</v>
      </c>
      <c r="N7" s="34">
        <v>2099.9699999999998</v>
      </c>
    </row>
    <row r="8" spans="1:14">
      <c r="A8" s="34" t="str">
        <v>TRX0230</v>
      </c>
      <c r="B8" s="36">
        <v>45409</v>
      </c>
      <c r="C8" s="34" t="str">
        <v>CUST027</v>
      </c>
      <c r="D8" s="34" t="str">
        <v>George Adams</v>
      </c>
      <c r="E8" s="34" t="str">
        <v>P001</v>
      </c>
      <c r="F8" s="34" t="str">
        <v>Laptop</v>
      </c>
      <c r="G8" s="38" t="str">
        <v>Electronics</v>
      </c>
      <c r="H8" s="39">
        <v>1</v>
      </c>
      <c r="I8" s="34">
        <v>899.99</v>
      </c>
      <c r="J8" s="34" t="str">
        <v>Debit Card</v>
      </c>
      <c r="K8" s="34" t="str">
        <v>North</v>
      </c>
      <c r="L8" s="34" t="str">
        <v>Standard</v>
      </c>
      <c r="M8" s="36">
        <v>44920</v>
      </c>
      <c r="N8" s="34">
        <v>899.99</v>
      </c>
    </row>
    <row r="9" spans="1:14">
      <c r="A9" s="34" t="str">
        <v>TRX0134</v>
      </c>
      <c r="B9" s="36">
        <v>45410</v>
      </c>
      <c r="C9" s="34" t="str">
        <v>CUST010</v>
      </c>
      <c r="D9" s="34" t="str">
        <v>Maria Garcia</v>
      </c>
      <c r="E9" s="34" t="str">
        <v>P002</v>
      </c>
      <c r="F9" s="34" t="str">
        <v>Smartphone</v>
      </c>
      <c r="G9" s="38" t="str">
        <v>Electronics</v>
      </c>
      <c r="H9" s="39">
        <v>2</v>
      </c>
      <c r="I9" s="34">
        <v>699.99</v>
      </c>
      <c r="J9" s="34" t="str">
        <v>Cash</v>
      </c>
      <c r="K9" s="34" t="str">
        <v>North</v>
      </c>
      <c r="L9" s="34" t="str">
        <v>Basic</v>
      </c>
      <c r="M9" s="36">
        <v>44781</v>
      </c>
      <c r="N9" s="34">
        <v>1399.98</v>
      </c>
    </row>
    <row r="10" spans="1:14">
      <c r="A10" s="34" t="str">
        <v>TRX0122</v>
      </c>
      <c r="B10" s="36">
        <v>45410</v>
      </c>
      <c r="C10" s="34" t="str">
        <v>CUST025</v>
      </c>
      <c r="D10" s="34" t="str">
        <v>Mark Carter</v>
      </c>
      <c r="E10" s="34" t="str">
        <v>P001</v>
      </c>
      <c r="F10" s="34" t="str">
        <v>Laptop</v>
      </c>
      <c r="G10" s="38" t="str">
        <v>Electronics</v>
      </c>
      <c r="H10" s="39">
        <v>4</v>
      </c>
      <c r="I10" s="34">
        <v>899.99</v>
      </c>
      <c r="J10" s="34" t="str">
        <v>Credit Card</v>
      </c>
      <c r="K10" s="34" t="str">
        <v>West</v>
      </c>
      <c r="L10" s="34" t="str">
        <v>Standard</v>
      </c>
      <c r="M10" s="36">
        <v>45327</v>
      </c>
      <c r="N10" s="34">
        <v>3599.96</v>
      </c>
    </row>
    <row r="11" spans="1:14">
      <c r="A11" s="34" t="str">
        <v>TRX0222</v>
      </c>
      <c r="B11" s="36">
        <v>45410</v>
      </c>
      <c r="C11" s="34" t="str">
        <v>CUST048</v>
      </c>
      <c r="D11" s="34" t="str">
        <v>Virginia Sanders</v>
      </c>
      <c r="E11" s="34" t="str">
        <v>P009</v>
      </c>
      <c r="F11" s="34" t="str">
        <v>Monitor</v>
      </c>
      <c r="G11" s="38" t="str">
        <v>Electronics</v>
      </c>
      <c r="H11" s="39">
        <v>3</v>
      </c>
      <c r="I11" s="34">
        <v>249.99</v>
      </c>
      <c r="J11" s="34" t="str">
        <v>Credit Card</v>
      </c>
      <c r="K11" s="34" t="str">
        <v>North</v>
      </c>
      <c r="L11" s="34" t="str">
        <v>Premium</v>
      </c>
      <c r="M11" s="36">
        <v>45224</v>
      </c>
      <c r="N11" s="34">
        <v>749.97</v>
      </c>
    </row>
    <row r="12" spans="1:14">
      <c r="A12" s="34" t="str">
        <v>TRX0231</v>
      </c>
      <c r="B12" s="36">
        <v>45412</v>
      </c>
      <c r="C12" s="34" t="str">
        <v>CUST018</v>
      </c>
      <c r="D12" s="34" t="str">
        <v>Barbara Young</v>
      </c>
      <c r="E12" s="34" t="str">
        <v>P002</v>
      </c>
      <c r="F12" s="34" t="str">
        <v>Smartphone</v>
      </c>
      <c r="G12" s="38" t="str">
        <v>Electronics</v>
      </c>
      <c r="H12" s="39">
        <v>5</v>
      </c>
      <c r="I12" s="34">
        <v>699.99</v>
      </c>
      <c r="J12" s="34" t="str">
        <v>Cash</v>
      </c>
      <c r="K12" s="34" t="str">
        <v>West</v>
      </c>
      <c r="L12" s="34" t="str">
        <v>Basic</v>
      </c>
      <c r="M12" s="36">
        <v>45167</v>
      </c>
      <c r="N12" s="34">
        <v>3499.95</v>
      </c>
    </row>
    <row r="13" spans="1:14">
      <c r="A13" s="34" t="str">
        <v>TRX0239</v>
      </c>
      <c r="B13" s="36">
        <v>45413</v>
      </c>
      <c r="C13" s="34" t="str">
        <v>CUST012</v>
      </c>
      <c r="D13" s="34" t="str">
        <v>Patricia Moore</v>
      </c>
      <c r="E13" s="34" t="str">
        <v>P002</v>
      </c>
      <c r="F13" s="34" t="str">
        <v>Smartphone</v>
      </c>
      <c r="G13" s="38" t="str">
        <v>Electronics</v>
      </c>
      <c r="H13" s="39">
        <v>4</v>
      </c>
      <c r="I13" s="34">
        <v>699.99</v>
      </c>
      <c r="J13" s="34" t="str">
        <v>Cash</v>
      </c>
      <c r="K13" s="34" t="str">
        <v>East</v>
      </c>
      <c r="L13" s="34" t="str">
        <v>Standard</v>
      </c>
      <c r="M13" s="36">
        <v>44409</v>
      </c>
      <c r="N13" s="34">
        <v>2799.96</v>
      </c>
    </row>
    <row r="14" spans="1:14">
      <c r="A14" s="34" t="str">
        <v>TRX0204</v>
      </c>
      <c r="B14" s="36">
        <v>45415</v>
      </c>
      <c r="C14" s="34" t="str">
        <v>CUST044</v>
      </c>
      <c r="D14" s="34" t="str">
        <v>Cynthia Price</v>
      </c>
      <c r="E14" s="34" t="str">
        <v>P009</v>
      </c>
      <c r="F14" s="34" t="str">
        <v>Monitor</v>
      </c>
      <c r="G14" s="38" t="str">
        <v>Electronics</v>
      </c>
      <c r="H14" s="39">
        <v>4</v>
      </c>
      <c r="I14" s="34">
        <v>249.99</v>
      </c>
      <c r="J14" s="34" t="str">
        <v>PayPal</v>
      </c>
      <c r="K14" s="34" t="str">
        <v>North</v>
      </c>
      <c r="L14" s="34" t="str">
        <v>Standard</v>
      </c>
      <c r="M14" s="36">
        <v>44468</v>
      </c>
      <c r="N14" s="34">
        <v>999.96</v>
      </c>
    </row>
    <row r="15" spans="1:14">
      <c r="A15" s="34" t="str">
        <v>TRX0071</v>
      </c>
      <c r="B15" s="36">
        <v>45422</v>
      </c>
      <c r="C15" s="34" t="str">
        <v>CUST036</v>
      </c>
      <c r="D15" s="34" t="str">
        <v>Nancy Collins</v>
      </c>
      <c r="E15" s="34" t="str">
        <v>P009</v>
      </c>
      <c r="F15" s="34" t="str">
        <v>Monitor</v>
      </c>
      <c r="G15" s="38" t="str">
        <v>Electronics</v>
      </c>
      <c r="H15" s="39">
        <v>5</v>
      </c>
      <c r="I15" s="34">
        <v>249.99</v>
      </c>
      <c r="J15" s="34" t="str">
        <v>Credit Card</v>
      </c>
      <c r="K15" s="34" t="str">
        <v>West</v>
      </c>
      <c r="L15" s="34" t="str">
        <v>Standard</v>
      </c>
      <c r="M15" s="36">
        <v>44525</v>
      </c>
      <c r="N15" s="34">
        <v>1249.95</v>
      </c>
    </row>
    <row r="16" spans="1:14">
      <c r="A16" s="34" t="str">
        <v>TRX0004</v>
      </c>
      <c r="B16" s="36">
        <v>45424</v>
      </c>
      <c r="C16" s="34" t="str">
        <v>CUST012</v>
      </c>
      <c r="D16" s="34" t="str">
        <v>Patricia Moore</v>
      </c>
      <c r="E16" s="34" t="str">
        <v>P010</v>
      </c>
      <c r="F16" s="34" t="str">
        <v>Keyboard</v>
      </c>
      <c r="G16" s="38" t="str">
        <v>Electronics</v>
      </c>
      <c r="H16" s="39">
        <v>5</v>
      </c>
      <c r="I16" s="34">
        <v>89.99</v>
      </c>
      <c r="J16" s="34" t="str">
        <v>Cash</v>
      </c>
      <c r="K16" s="34" t="str">
        <v>North</v>
      </c>
      <c r="L16" s="34" t="str">
        <v>Premium</v>
      </c>
      <c r="M16" s="36">
        <v>44919</v>
      </c>
      <c r="N16" s="34">
        <v>449.95</v>
      </c>
    </row>
    <row r="17" spans="1:14">
      <c r="A17" s="34" t="str">
        <v>TRX0041</v>
      </c>
      <c r="B17" s="36">
        <v>45432</v>
      </c>
      <c r="C17" s="34" t="str">
        <v>CUST021</v>
      </c>
      <c r="D17" s="34" t="str">
        <v>Kevin Scott</v>
      </c>
      <c r="E17" s="34" t="str">
        <v>P001</v>
      </c>
      <c r="F17" s="34" t="str">
        <v>Laptop</v>
      </c>
      <c r="G17" s="38" t="str">
        <v>Electronics</v>
      </c>
      <c r="H17" s="39">
        <v>1</v>
      </c>
      <c r="I17" s="34">
        <v>899.99</v>
      </c>
      <c r="J17" s="34" t="str">
        <v>Credit Card</v>
      </c>
      <c r="K17" s="34" t="str">
        <v>West</v>
      </c>
      <c r="L17" s="34" t="str">
        <v>Premium</v>
      </c>
      <c r="M17" s="36">
        <v>44578</v>
      </c>
      <c r="N17" s="34">
        <v>899.99</v>
      </c>
    </row>
    <row r="18" spans="1:14">
      <c r="A18" s="34" t="str">
        <v>TRX0015</v>
      </c>
      <c r="B18" s="36">
        <v>45440</v>
      </c>
      <c r="C18" s="34" t="str">
        <v>CUST008</v>
      </c>
      <c r="D18" s="34" t="str">
        <v>Jennifer Taylor</v>
      </c>
      <c r="E18" s="34" t="str">
        <v>P002</v>
      </c>
      <c r="F18" s="34" t="str">
        <v>Smartphone</v>
      </c>
      <c r="G18" s="38" t="str">
        <v>Electronics</v>
      </c>
      <c r="H18" s="39">
        <v>5</v>
      </c>
      <c r="I18" s="34">
        <v>699.99</v>
      </c>
      <c r="J18" s="34" t="str">
        <v>PayPal</v>
      </c>
      <c r="K18" s="34" t="str">
        <v>West</v>
      </c>
      <c r="L18" s="34" t="str">
        <v>Standard</v>
      </c>
      <c r="M18" s="36">
        <v>44407</v>
      </c>
      <c r="N18" s="34">
        <v>3499.95</v>
      </c>
    </row>
    <row r="19" spans="1:14">
      <c r="A19" s="34" t="str">
        <v>TRX0202</v>
      </c>
      <c r="B19" s="36">
        <v>45441</v>
      </c>
      <c r="C19" s="34" t="str">
        <v>CUST035</v>
      </c>
      <c r="D19" s="34" t="str">
        <v>Harry Morgan</v>
      </c>
      <c r="E19" s="34" t="str">
        <v>P010</v>
      </c>
      <c r="F19" s="34" t="str">
        <v>Keyboard</v>
      </c>
      <c r="G19" s="38" t="str">
        <v>Electronics</v>
      </c>
      <c r="H19" s="39">
        <v>3</v>
      </c>
      <c r="I19" s="34">
        <v>89.99</v>
      </c>
      <c r="J19" s="34" t="str">
        <v>PayPal</v>
      </c>
      <c r="K19" s="34" t="str">
        <v>Central</v>
      </c>
      <c r="L19" s="34" t="str">
        <v>Premium</v>
      </c>
      <c r="M19" s="36">
        <v>45120</v>
      </c>
      <c r="N19" s="34">
        <v>269.97000000000003</v>
      </c>
    </row>
    <row r="20" spans="1:14">
      <c r="A20" s="34" t="str">
        <v>TRX0117</v>
      </c>
      <c r="B20" s="36">
        <v>45444</v>
      </c>
      <c r="C20" s="34" t="str">
        <v>CUST017</v>
      </c>
      <c r="D20" s="34" t="str">
        <v>Charles Allen</v>
      </c>
      <c r="E20" s="34" t="str">
        <v>P010</v>
      </c>
      <c r="F20" s="34" t="str">
        <v>Keyboard</v>
      </c>
      <c r="G20" s="38" t="str">
        <v>Electronics</v>
      </c>
      <c r="H20" s="39">
        <v>1</v>
      </c>
      <c r="I20" s="34">
        <v>89.99</v>
      </c>
      <c r="J20" s="34" t="str">
        <v>Cash</v>
      </c>
      <c r="K20" s="34" t="str">
        <v>North</v>
      </c>
      <c r="L20" s="34" t="str">
        <v>Basic</v>
      </c>
      <c r="M20" s="36">
        <v>45141</v>
      </c>
      <c r="N20" s="34">
        <v>89.99</v>
      </c>
    </row>
    <row r="21" spans="1:14">
      <c r="A21" s="34" t="str">
        <v>TRX0208</v>
      </c>
      <c r="B21" s="36">
        <v>45446</v>
      </c>
      <c r="C21" s="34" t="str">
        <v>CUST004</v>
      </c>
      <c r="D21" s="34" t="str">
        <v>Sarah Davis</v>
      </c>
      <c r="E21" s="34" t="str">
        <v>P010</v>
      </c>
      <c r="F21" s="34" t="str">
        <v>Keyboard</v>
      </c>
      <c r="G21" s="38" t="str">
        <v>Electronics</v>
      </c>
      <c r="H21" s="39">
        <v>5</v>
      </c>
      <c r="I21" s="34">
        <v>89.99</v>
      </c>
      <c r="J21" s="34" t="str">
        <v>Credit Card</v>
      </c>
      <c r="K21" s="34" t="str">
        <v>East</v>
      </c>
      <c r="L21" s="34" t="str">
        <v>Standard</v>
      </c>
      <c r="M21" s="36">
        <v>44587</v>
      </c>
      <c r="N21" s="34">
        <v>449.95</v>
      </c>
    </row>
    <row r="22" spans="1:14">
      <c r="A22" s="34" t="str">
        <v>TRX0234</v>
      </c>
      <c r="B22" s="36">
        <v>45449</v>
      </c>
      <c r="C22" s="34" t="str">
        <v>CUST013</v>
      </c>
      <c r="D22" s="34" t="str">
        <v>Joseph Jackson</v>
      </c>
      <c r="E22" s="34" t="str">
        <v>P009</v>
      </c>
      <c r="F22" s="34" t="str">
        <v>Monitor</v>
      </c>
      <c r="G22" s="38" t="str">
        <v>Electronics</v>
      </c>
      <c r="H22" s="39">
        <v>5</v>
      </c>
      <c r="I22" s="34">
        <v>249.99</v>
      </c>
      <c r="J22" s="34" t="str">
        <v>Credit Card</v>
      </c>
      <c r="K22" s="34" t="str">
        <v>East</v>
      </c>
      <c r="L22" s="34" t="str">
        <v>Standard</v>
      </c>
      <c r="M22" s="36">
        <v>44707</v>
      </c>
      <c r="N22" s="34">
        <v>1249.95</v>
      </c>
    </row>
    <row r="23" spans="1:14">
      <c r="A23" s="34" t="str">
        <v>TRX0121</v>
      </c>
      <c r="B23" s="36">
        <v>45449</v>
      </c>
      <c r="C23" s="34" t="str">
        <v>CUST028</v>
      </c>
      <c r="D23" s="34" t="str">
        <v>Betty Campbell</v>
      </c>
      <c r="E23" s="34" t="str">
        <v>P010</v>
      </c>
      <c r="F23" s="34" t="str">
        <v>Keyboard</v>
      </c>
      <c r="G23" s="38" t="str">
        <v>Electronics</v>
      </c>
      <c r="H23" s="39">
        <v>1</v>
      </c>
      <c r="I23" s="34">
        <v>89.99</v>
      </c>
      <c r="J23" s="34" t="str">
        <v>Credit Card</v>
      </c>
      <c r="K23" s="34" t="str">
        <v>South</v>
      </c>
      <c r="L23" s="34" t="str">
        <v>Standard</v>
      </c>
      <c r="M23" s="36">
        <v>44582</v>
      </c>
      <c r="N23" s="34">
        <v>89.99</v>
      </c>
    </row>
    <row r="24" spans="1:14">
      <c r="A24" s="34" t="str">
        <v>TRX0088</v>
      </c>
      <c r="B24" s="36">
        <v>45456</v>
      </c>
      <c r="C24" s="34" t="str">
        <v>CUST006</v>
      </c>
      <c r="D24" s="34" t="str">
        <v>Lisa Anderson</v>
      </c>
      <c r="E24" s="34" t="str">
        <v>P010</v>
      </c>
      <c r="F24" s="34" t="str">
        <v>Keyboard</v>
      </c>
      <c r="G24" s="38" t="str">
        <v>Electronics</v>
      </c>
      <c r="H24" s="39">
        <v>5</v>
      </c>
      <c r="I24" s="34">
        <v>89.99</v>
      </c>
      <c r="J24" s="34" t="str">
        <v>Cash</v>
      </c>
      <c r="K24" s="34" t="str">
        <v>Central</v>
      </c>
      <c r="L24" s="34" t="str">
        <v>Premium</v>
      </c>
      <c r="M24" s="36">
        <v>44579</v>
      </c>
      <c r="N24" s="34">
        <v>449.95</v>
      </c>
    </row>
    <row r="25" spans="1:14">
      <c r="A25" s="34" t="str">
        <v>TRX0115</v>
      </c>
      <c r="B25" s="36">
        <v>45459</v>
      </c>
      <c r="C25" s="34" t="str">
        <v>CUST012</v>
      </c>
      <c r="D25" s="34" t="str">
        <v>Patricia Moore</v>
      </c>
      <c r="E25" s="34" t="str">
        <v>P010</v>
      </c>
      <c r="F25" s="34" t="str">
        <v>Keyboard</v>
      </c>
      <c r="G25" s="38" t="str">
        <v>Electronics</v>
      </c>
      <c r="H25" s="39">
        <v>2</v>
      </c>
      <c r="I25" s="34">
        <v>89.99</v>
      </c>
      <c r="J25" s="34" t="str">
        <v>Credit Card</v>
      </c>
      <c r="K25" s="34" t="str">
        <v>South</v>
      </c>
      <c r="L25" s="34" t="str">
        <v>Premium</v>
      </c>
      <c r="M25" s="36">
        <v>44471</v>
      </c>
      <c r="N25" s="34">
        <v>179.98</v>
      </c>
    </row>
    <row r="26" spans="1:14">
      <c r="A26" s="34" t="str">
        <v>TRX0154</v>
      </c>
      <c r="B26" s="36">
        <v>45459</v>
      </c>
      <c r="C26" s="34" t="str">
        <v>CUST023</v>
      </c>
      <c r="D26" s="34" t="str">
        <v>Paul Baker</v>
      </c>
      <c r="E26" s="34" t="str">
        <v>P001</v>
      </c>
      <c r="F26" s="34" t="str">
        <v>Laptop</v>
      </c>
      <c r="G26" s="38" t="str">
        <v>Electronics</v>
      </c>
      <c r="H26" s="39">
        <v>5</v>
      </c>
      <c r="I26" s="34">
        <v>899.99</v>
      </c>
      <c r="J26" s="34" t="str">
        <v>Credit Card</v>
      </c>
      <c r="K26" s="34" t="str">
        <v>South</v>
      </c>
      <c r="L26" s="34" t="str">
        <v>Standard</v>
      </c>
      <c r="M26" s="36">
        <v>44974</v>
      </c>
      <c r="N26" s="34">
        <v>4499.95</v>
      </c>
    </row>
    <row r="27" spans="1:14">
      <c r="A27" s="34" t="str">
        <v>TRX0044</v>
      </c>
      <c r="B27" s="36">
        <v>45459</v>
      </c>
      <c r="C27" s="34" t="str">
        <v>CUST029</v>
      </c>
      <c r="D27" s="34" t="str">
        <v>Edward Mitchell</v>
      </c>
      <c r="E27" s="34" t="str">
        <v>P001</v>
      </c>
      <c r="F27" s="34" t="str">
        <v>Laptop</v>
      </c>
      <c r="G27" s="38" t="str">
        <v>Electronics</v>
      </c>
      <c r="H27" s="39">
        <v>5</v>
      </c>
      <c r="I27" s="34">
        <v>899.99</v>
      </c>
      <c r="J27" s="34" t="str">
        <v>PayPal</v>
      </c>
      <c r="K27" s="34" t="str">
        <v>East</v>
      </c>
      <c r="L27" s="34" t="str">
        <v>Premium</v>
      </c>
      <c r="M27" s="36">
        <v>45278</v>
      </c>
      <c r="N27" s="34">
        <v>4499.95</v>
      </c>
    </row>
    <row r="28" spans="1:14">
      <c r="A28" s="34" t="str">
        <v>TRX0025</v>
      </c>
      <c r="B28" s="36">
        <v>45468</v>
      </c>
      <c r="C28" s="34" t="str">
        <v>CUST049</v>
      </c>
      <c r="D28" s="34" t="str">
        <v>Raymond Ross</v>
      </c>
      <c r="E28" s="34" t="str">
        <v>P010</v>
      </c>
      <c r="F28" s="34" t="str">
        <v>Keyboard</v>
      </c>
      <c r="G28" s="38" t="str">
        <v>Electronics</v>
      </c>
      <c r="H28" s="39">
        <v>4</v>
      </c>
      <c r="I28" s="34">
        <v>89.99</v>
      </c>
      <c r="J28" s="34" t="str">
        <v>Debit Card</v>
      </c>
      <c r="K28" s="34" t="str">
        <v>South</v>
      </c>
      <c r="L28" s="34" t="str">
        <v>Basic</v>
      </c>
      <c r="M28" s="36">
        <v>45281</v>
      </c>
      <c r="N28" s="34">
        <v>359.96</v>
      </c>
    </row>
    <row r="29" spans="1:14">
      <c r="A29" s="34" t="str">
        <v>TRX0007</v>
      </c>
      <c r="B29" s="36">
        <v>45469</v>
      </c>
      <c r="C29" s="34" t="str">
        <v>CUST009</v>
      </c>
      <c r="D29" s="34" t="str">
        <v>Robert Thomas</v>
      </c>
      <c r="E29" s="34" t="str">
        <v>P010</v>
      </c>
      <c r="F29" s="34" t="str">
        <v>Keyboard</v>
      </c>
      <c r="G29" s="38" t="str">
        <v>Electronics</v>
      </c>
      <c r="H29" s="39">
        <v>2</v>
      </c>
      <c r="I29" s="34">
        <v>89.99</v>
      </c>
      <c r="J29" s="34" t="str">
        <v>Cash</v>
      </c>
      <c r="K29" s="34" t="str">
        <v>West</v>
      </c>
      <c r="L29" s="34" t="str">
        <v>Basic</v>
      </c>
      <c r="M29" s="36">
        <v>44438</v>
      </c>
      <c r="N29" s="34">
        <v>179.98</v>
      </c>
    </row>
    <row r="30" spans="1:14">
      <c r="A30" s="34" t="str">
        <v>TRX0184</v>
      </c>
      <c r="B30" s="36">
        <v>45471</v>
      </c>
      <c r="C30" s="34" t="str">
        <v>CUST046</v>
      </c>
      <c r="D30" s="34" t="str">
        <v>Kathleen Bennett</v>
      </c>
      <c r="E30" s="34" t="str">
        <v>P002</v>
      </c>
      <c r="F30" s="34" t="str">
        <v>Smartphone</v>
      </c>
      <c r="G30" s="38" t="str">
        <v>Electronics</v>
      </c>
      <c r="H30" s="39">
        <v>3</v>
      </c>
      <c r="I30" s="34">
        <v>699.99</v>
      </c>
      <c r="J30" s="34" t="str">
        <v>Credit Card</v>
      </c>
      <c r="K30" s="34" t="str">
        <v>East</v>
      </c>
      <c r="L30" s="34" t="str">
        <v>Premium</v>
      </c>
      <c r="M30" s="36">
        <v>45102</v>
      </c>
      <c r="N30" s="34">
        <v>2099.9699999999998</v>
      </c>
    </row>
    <row r="31" spans="1:14">
      <c r="A31" s="34" t="str">
        <v>TRX0104</v>
      </c>
      <c r="B31" s="36">
        <v>45471</v>
      </c>
      <c r="C31" s="34" t="str">
        <v>CUST012</v>
      </c>
      <c r="D31" s="34" t="str">
        <v>Patricia Moore</v>
      </c>
      <c r="E31" s="34" t="str">
        <v>P001</v>
      </c>
      <c r="F31" s="34" t="str">
        <v>Laptop</v>
      </c>
      <c r="G31" s="38" t="str">
        <v>Electronics</v>
      </c>
      <c r="H31" s="39">
        <v>4</v>
      </c>
      <c r="I31" s="34">
        <v>899.99</v>
      </c>
      <c r="J31" s="34" t="str">
        <v>Credit Card</v>
      </c>
      <c r="K31" s="34" t="str">
        <v>East</v>
      </c>
      <c r="L31" s="34" t="str">
        <v>Premium</v>
      </c>
      <c r="M31" s="36">
        <v>44993</v>
      </c>
      <c r="N31" s="34">
        <v>3599.96</v>
      </c>
    </row>
    <row r="32" spans="1:14">
      <c r="A32" s="34" t="str">
        <v>TRX0096</v>
      </c>
      <c r="B32" s="36">
        <v>45474</v>
      </c>
      <c r="C32" s="34" t="str">
        <v>CUST002</v>
      </c>
      <c r="D32" s="34" t="str">
        <v>Emma Wilson</v>
      </c>
      <c r="E32" s="34" t="str">
        <v>P010</v>
      </c>
      <c r="F32" s="34" t="str">
        <v>Keyboard</v>
      </c>
      <c r="G32" s="38" t="str">
        <v>Electronics</v>
      </c>
      <c r="H32" s="39">
        <v>2</v>
      </c>
      <c r="I32" s="34">
        <v>89.99</v>
      </c>
      <c r="J32" s="34" t="str">
        <v>PayPal</v>
      </c>
      <c r="K32" s="34" t="str">
        <v>Central</v>
      </c>
      <c r="L32" s="34" t="str">
        <v>Premium</v>
      </c>
      <c r="M32" s="36">
        <v>45275</v>
      </c>
      <c r="N32" s="34">
        <v>179.98</v>
      </c>
    </row>
    <row r="33" spans="1:14">
      <c r="A33" s="34" t="str">
        <v>TRX0192</v>
      </c>
      <c r="B33" s="36">
        <v>45475</v>
      </c>
      <c r="C33" s="34" t="str">
        <v>CUST017</v>
      </c>
      <c r="D33" s="34" t="str">
        <v>Charles Allen</v>
      </c>
      <c r="E33" s="34" t="str">
        <v>P010</v>
      </c>
      <c r="F33" s="34" t="str">
        <v>Keyboard</v>
      </c>
      <c r="G33" s="38" t="str">
        <v>Electronics</v>
      </c>
      <c r="H33" s="39">
        <v>1</v>
      </c>
      <c r="I33" s="34">
        <v>89.99</v>
      </c>
      <c r="J33" s="34" t="str">
        <v>PayPal</v>
      </c>
      <c r="K33" s="34" t="str">
        <v>West</v>
      </c>
      <c r="L33" s="34" t="str">
        <v>Standard</v>
      </c>
      <c r="M33" s="36">
        <v>44802</v>
      </c>
      <c r="N33" s="34">
        <v>89.99</v>
      </c>
    </row>
    <row r="34" spans="1:14">
      <c r="A34" s="34" t="str">
        <v>TRX0052</v>
      </c>
      <c r="B34" s="36">
        <v>45476</v>
      </c>
      <c r="C34" s="34" t="str">
        <v>CUST022</v>
      </c>
      <c r="D34" s="34" t="str">
        <v>Susan Green</v>
      </c>
      <c r="E34" s="34" t="str">
        <v>P010</v>
      </c>
      <c r="F34" s="34" t="str">
        <v>Keyboard</v>
      </c>
      <c r="G34" s="38" t="str">
        <v>Electronics</v>
      </c>
      <c r="H34" s="39">
        <v>1</v>
      </c>
      <c r="I34" s="34">
        <v>89.99</v>
      </c>
      <c r="J34" s="34" t="str">
        <v>Cash</v>
      </c>
      <c r="K34" s="34" t="str">
        <v>South</v>
      </c>
      <c r="L34" s="34" t="str">
        <v>Standard</v>
      </c>
      <c r="M34" s="36">
        <v>44611</v>
      </c>
      <c r="N34" s="34">
        <v>89.99</v>
      </c>
    </row>
    <row r="35" spans="1:14">
      <c r="A35" s="34" t="str">
        <v>TRX0113</v>
      </c>
      <c r="B35" s="36">
        <v>45481</v>
      </c>
      <c r="C35" s="34" t="str">
        <v>CUST003</v>
      </c>
      <c r="D35" s="34" t="str">
        <v>Michael Brown</v>
      </c>
      <c r="E35" s="34" t="str">
        <v>P002</v>
      </c>
      <c r="F35" s="34" t="str">
        <v>Smartphone</v>
      </c>
      <c r="G35" s="38" t="str">
        <v>Electronics</v>
      </c>
      <c r="H35" s="39">
        <v>2</v>
      </c>
      <c r="I35" s="34">
        <v>699.99</v>
      </c>
      <c r="J35" s="34" t="str">
        <v>PayPal</v>
      </c>
      <c r="K35" s="34" t="str">
        <v>East</v>
      </c>
      <c r="L35" s="34" t="str">
        <v>Premium</v>
      </c>
      <c r="M35" s="36">
        <v>45389</v>
      </c>
      <c r="N35" s="34">
        <v>1399.98</v>
      </c>
    </row>
    <row r="36" spans="1:14">
      <c r="A36" s="34" t="str">
        <v>TRX0114</v>
      </c>
      <c r="B36" s="36">
        <v>45481</v>
      </c>
      <c r="C36" s="34" t="str">
        <v>CUST018</v>
      </c>
      <c r="D36" s="34" t="str">
        <v>Barbara Young</v>
      </c>
      <c r="E36" s="34" t="str">
        <v>P010</v>
      </c>
      <c r="F36" s="34" t="str">
        <v>Keyboard</v>
      </c>
      <c r="G36" s="38" t="str">
        <v>Electronics</v>
      </c>
      <c r="H36" s="39">
        <v>5</v>
      </c>
      <c r="I36" s="34">
        <v>89.99</v>
      </c>
      <c r="J36" s="34" t="str">
        <v>Debit Card</v>
      </c>
      <c r="K36" s="34" t="str">
        <v>North</v>
      </c>
      <c r="L36" s="34" t="str">
        <v>Premium</v>
      </c>
      <c r="M36" s="36">
        <v>45161</v>
      </c>
      <c r="N36" s="34">
        <v>449.95</v>
      </c>
    </row>
    <row r="37" spans="1:14">
      <c r="A37" s="34" t="str">
        <v>TRX0018</v>
      </c>
      <c r="B37" s="36">
        <v>45484</v>
      </c>
      <c r="C37" s="34" t="str">
        <v>CUST013</v>
      </c>
      <c r="D37" s="34" t="str">
        <v>Joseph Jackson</v>
      </c>
      <c r="E37" s="34" t="str">
        <v>P003</v>
      </c>
      <c r="F37" s="34" t="str">
        <v>Headphones</v>
      </c>
      <c r="G37" s="38" t="str">
        <v>Electronics</v>
      </c>
      <c r="H37" s="39">
        <v>1</v>
      </c>
      <c r="I37" s="34">
        <v>149.99</v>
      </c>
      <c r="J37" s="34" t="str">
        <v>Cash</v>
      </c>
      <c r="K37" s="34" t="str">
        <v>Central</v>
      </c>
      <c r="L37" s="34" t="str">
        <v>Standard</v>
      </c>
      <c r="M37" s="36">
        <v>44909</v>
      </c>
      <c r="N37" s="34">
        <v>149.99</v>
      </c>
    </row>
    <row r="38" spans="1:14">
      <c r="A38" s="34" t="str">
        <v>TRX0162</v>
      </c>
      <c r="B38" s="36">
        <v>45496</v>
      </c>
      <c r="C38" s="34" t="str">
        <v>CUST040</v>
      </c>
      <c r="D38" s="34" t="str">
        <v>Sharon Butler</v>
      </c>
      <c r="E38" s="34" t="str">
        <v>P001</v>
      </c>
      <c r="F38" s="34" t="str">
        <v>Laptop</v>
      </c>
      <c r="G38" s="38" t="str">
        <v>Electronics</v>
      </c>
      <c r="H38" s="39">
        <v>1</v>
      </c>
      <c r="I38" s="34">
        <v>899.99</v>
      </c>
      <c r="J38" s="34" t="str">
        <v>Cash</v>
      </c>
      <c r="K38" s="34" t="str">
        <v>Central</v>
      </c>
      <c r="L38" s="34" t="str">
        <v>Standard</v>
      </c>
      <c r="M38" s="36">
        <v>45179</v>
      </c>
      <c r="N38" s="34">
        <v>899.99</v>
      </c>
    </row>
    <row r="39" spans="1:14">
      <c r="A39" s="34" t="str">
        <v>TRX0244</v>
      </c>
      <c r="B39" s="36">
        <v>45497</v>
      </c>
      <c r="C39" s="34" t="str">
        <v>CUST013</v>
      </c>
      <c r="D39" s="34" t="str">
        <v>Joseph Jackson</v>
      </c>
      <c r="E39" s="34" t="str">
        <v>P001</v>
      </c>
      <c r="F39" s="34" t="str">
        <v>Laptop</v>
      </c>
      <c r="G39" s="38" t="str">
        <v>Electronics</v>
      </c>
      <c r="H39" s="39">
        <v>5</v>
      </c>
      <c r="I39" s="34">
        <v>899.99</v>
      </c>
      <c r="J39" s="34" t="str">
        <v>Debit Card</v>
      </c>
      <c r="K39" s="34" t="str">
        <v>South</v>
      </c>
      <c r="L39" s="34" t="str">
        <v>Standard</v>
      </c>
      <c r="M39" s="36">
        <v>44899</v>
      </c>
      <c r="N39" s="34">
        <v>4499.95</v>
      </c>
    </row>
    <row r="40" spans="1:14">
      <c r="A40" s="34" t="str">
        <v>TRX0215</v>
      </c>
      <c r="B40" s="36">
        <v>45498</v>
      </c>
      <c r="C40" s="34" t="str">
        <v>CUST047</v>
      </c>
      <c r="D40" s="34" t="str">
        <v>Gerald Murphy</v>
      </c>
      <c r="E40" s="34" t="str">
        <v>P009</v>
      </c>
      <c r="F40" s="34" t="str">
        <v>Monitor</v>
      </c>
      <c r="G40" s="38" t="str">
        <v>Electronics</v>
      </c>
      <c r="H40" s="39">
        <v>4</v>
      </c>
      <c r="I40" s="34">
        <v>249.99</v>
      </c>
      <c r="J40" s="34" t="str">
        <v>Debit Card</v>
      </c>
      <c r="K40" s="34" t="str">
        <v>Central</v>
      </c>
      <c r="L40" s="34" t="str">
        <v>Standard</v>
      </c>
      <c r="M40" s="36">
        <v>45127</v>
      </c>
      <c r="N40" s="34">
        <v>999.96</v>
      </c>
    </row>
    <row r="41" spans="1:14">
      <c r="A41" s="34" t="str">
        <v>TRX0080</v>
      </c>
      <c r="B41" s="36">
        <v>45500</v>
      </c>
      <c r="C41" s="34" t="str">
        <v>CUST018</v>
      </c>
      <c r="D41" s="34" t="str">
        <v>Barbara Young</v>
      </c>
      <c r="E41" s="34" t="str">
        <v>P009</v>
      </c>
      <c r="F41" s="34" t="str">
        <v>Monitor</v>
      </c>
      <c r="G41" s="38" t="str">
        <v>Electronics</v>
      </c>
      <c r="H41" s="39">
        <v>2</v>
      </c>
      <c r="I41" s="34">
        <v>249.99</v>
      </c>
      <c r="J41" s="34" t="str">
        <v>Cash</v>
      </c>
      <c r="K41" s="34" t="str">
        <v>North</v>
      </c>
      <c r="L41" s="34" t="str">
        <v>Premium</v>
      </c>
      <c r="M41" s="36">
        <v>45164</v>
      </c>
      <c r="N41" s="34">
        <v>499.98</v>
      </c>
    </row>
    <row r="42" spans="1:14">
      <c r="A42" s="34" t="str">
        <v>TRX0157</v>
      </c>
      <c r="B42" s="36">
        <v>45501</v>
      </c>
      <c r="C42" s="34" t="str">
        <v>CUST025</v>
      </c>
      <c r="D42" s="34" t="str">
        <v>Mark Carter</v>
      </c>
      <c r="E42" s="34" t="str">
        <v>P010</v>
      </c>
      <c r="F42" s="34" t="str">
        <v>Keyboard</v>
      </c>
      <c r="G42" s="38" t="str">
        <v>Electronics</v>
      </c>
      <c r="H42" s="39">
        <v>2</v>
      </c>
      <c r="I42" s="34">
        <v>89.99</v>
      </c>
      <c r="J42" s="34" t="str">
        <v>PayPal</v>
      </c>
      <c r="K42" s="34" t="str">
        <v>South</v>
      </c>
      <c r="L42" s="34" t="str">
        <v>Basic</v>
      </c>
      <c r="M42" s="36">
        <v>44976</v>
      </c>
      <c r="N42" s="34">
        <v>179.98</v>
      </c>
    </row>
    <row r="43" spans="1:14">
      <c r="A43" s="34" t="str">
        <v>TRX0217</v>
      </c>
      <c r="B43" s="36">
        <v>45503</v>
      </c>
      <c r="C43" s="34" t="str">
        <v>CUST025</v>
      </c>
      <c r="D43" s="34" t="str">
        <v>Mark Carter</v>
      </c>
      <c r="E43" s="34" t="str">
        <v>P002</v>
      </c>
      <c r="F43" s="34" t="str">
        <v>Smartphone</v>
      </c>
      <c r="G43" s="38" t="str">
        <v>Electronics</v>
      </c>
      <c r="H43" s="39">
        <v>2</v>
      </c>
      <c r="I43" s="34">
        <v>699.99</v>
      </c>
      <c r="J43" s="34" t="str">
        <v>Credit Card</v>
      </c>
      <c r="K43" s="34" t="str">
        <v>North</v>
      </c>
      <c r="L43" s="34" t="str">
        <v>Premium</v>
      </c>
      <c r="M43" s="36">
        <v>44999</v>
      </c>
      <c r="N43" s="34">
        <v>1399.98</v>
      </c>
    </row>
    <row r="44" spans="1:14">
      <c r="A44" s="34" t="str">
        <v>TRX0249</v>
      </c>
      <c r="B44" s="36">
        <v>45504</v>
      </c>
      <c r="C44" s="34" t="str">
        <v>CUST030</v>
      </c>
      <c r="D44" s="34" t="str">
        <v>Helen Roberts</v>
      </c>
      <c r="E44" s="34" t="str">
        <v>P001</v>
      </c>
      <c r="F44" s="34" t="str">
        <v>Laptop</v>
      </c>
      <c r="G44" s="38" t="str">
        <v>Electronics</v>
      </c>
      <c r="H44" s="39">
        <v>4</v>
      </c>
      <c r="I44" s="34">
        <v>899.99</v>
      </c>
      <c r="J44" s="34" t="str">
        <v>Debit Card</v>
      </c>
      <c r="K44" s="34" t="str">
        <v>South</v>
      </c>
      <c r="L44" s="34" t="str">
        <v>Standard</v>
      </c>
      <c r="M44" s="36">
        <v>44523</v>
      </c>
      <c r="N44" s="34">
        <v>3599.96</v>
      </c>
    </row>
    <row r="45" spans="1:14">
      <c r="A45" s="34" t="str">
        <v>TRX0101</v>
      </c>
      <c r="B45" s="36">
        <v>45513</v>
      </c>
      <c r="C45" s="34" t="str">
        <v>CUST010</v>
      </c>
      <c r="D45" s="34" t="str">
        <v>Maria Garcia</v>
      </c>
      <c r="E45" s="34" t="str">
        <v>P010</v>
      </c>
      <c r="F45" s="34" t="str">
        <v>Keyboard</v>
      </c>
      <c r="G45" s="38" t="str">
        <v>Electronics</v>
      </c>
      <c r="H45" s="39">
        <v>1</v>
      </c>
      <c r="I45" s="34">
        <v>89.99</v>
      </c>
      <c r="J45" s="34" t="str">
        <v>Credit Card</v>
      </c>
      <c r="K45" s="34" t="str">
        <v>North</v>
      </c>
      <c r="L45" s="34" t="str">
        <v>Standard</v>
      </c>
      <c r="M45" s="36">
        <v>45393</v>
      </c>
      <c r="N45" s="34">
        <v>89.99</v>
      </c>
    </row>
    <row r="46" spans="1:14">
      <c r="A46" s="34" t="str">
        <v>TRX0020</v>
      </c>
      <c r="B46" s="36">
        <v>45517</v>
      </c>
      <c r="C46" s="34" t="str">
        <v>CUST007</v>
      </c>
      <c r="D46" s="34" t="str">
        <v>David Martinez</v>
      </c>
      <c r="E46" s="34" t="str">
        <v>P003</v>
      </c>
      <c r="F46" s="34" t="str">
        <v>Headphones</v>
      </c>
      <c r="G46" s="38" t="str">
        <v>Electronics</v>
      </c>
      <c r="H46" s="39">
        <v>4</v>
      </c>
      <c r="I46" s="34">
        <v>149.99</v>
      </c>
      <c r="J46" s="34" t="str">
        <v>Debit Card</v>
      </c>
      <c r="K46" s="34" t="str">
        <v>South</v>
      </c>
      <c r="L46" s="34" t="str">
        <v>Premium</v>
      </c>
      <c r="M46" s="36">
        <v>44820</v>
      </c>
      <c r="N46" s="34">
        <v>599.96</v>
      </c>
    </row>
    <row r="47" spans="1:14">
      <c r="A47" s="34" t="str">
        <v>TRX0075</v>
      </c>
      <c r="B47" s="36">
        <v>45517</v>
      </c>
      <c r="C47" s="34" t="str">
        <v>CUST020</v>
      </c>
      <c r="D47" s="34" t="str">
        <v>Margaret Wright</v>
      </c>
      <c r="E47" s="34" t="str">
        <v>P009</v>
      </c>
      <c r="F47" s="34" t="str">
        <v>Monitor</v>
      </c>
      <c r="G47" s="38" t="str">
        <v>Electronics</v>
      </c>
      <c r="H47" s="39">
        <v>5</v>
      </c>
      <c r="I47" s="34">
        <v>249.99</v>
      </c>
      <c r="J47" s="34" t="str">
        <v>PayPal</v>
      </c>
      <c r="K47" s="34" t="str">
        <v>East</v>
      </c>
      <c r="L47" s="34" t="str">
        <v>Premium</v>
      </c>
      <c r="M47" s="36">
        <v>44782</v>
      </c>
      <c r="N47" s="34">
        <v>1249.95</v>
      </c>
    </row>
    <row r="48" spans="1:14">
      <c r="A48" s="34" t="str">
        <v>TRX0098</v>
      </c>
      <c r="B48" s="36">
        <v>45517</v>
      </c>
      <c r="C48" s="34" t="str">
        <v>CUST026</v>
      </c>
      <c r="D48" s="34" t="str">
        <v>Karen Hill</v>
      </c>
      <c r="E48" s="34" t="str">
        <v>P009</v>
      </c>
      <c r="F48" s="34" t="str">
        <v>Monitor</v>
      </c>
      <c r="G48" s="38" t="str">
        <v>Electronics</v>
      </c>
      <c r="H48" s="39">
        <v>3</v>
      </c>
      <c r="I48" s="34">
        <v>249.99</v>
      </c>
      <c r="J48" s="34" t="str">
        <v>PayPal</v>
      </c>
      <c r="K48" s="34" t="str">
        <v>North</v>
      </c>
      <c r="L48" s="34" t="str">
        <v>Premium</v>
      </c>
      <c r="M48" s="36">
        <v>44465</v>
      </c>
      <c r="N48" s="34">
        <v>749.97</v>
      </c>
    </row>
    <row r="49" spans="1:14">
      <c r="A49" s="34" t="str">
        <v>TRX0140</v>
      </c>
      <c r="B49" s="36">
        <v>45522</v>
      </c>
      <c r="C49" s="34" t="str">
        <v>CUST025</v>
      </c>
      <c r="D49" s="34" t="str">
        <v>Mark Carter</v>
      </c>
      <c r="E49" s="34" t="str">
        <v>P010</v>
      </c>
      <c r="F49" s="34" t="str">
        <v>Keyboard</v>
      </c>
      <c r="G49" s="38" t="str">
        <v>Electronics</v>
      </c>
      <c r="H49" s="39">
        <v>2</v>
      </c>
      <c r="I49" s="34">
        <v>89.99</v>
      </c>
      <c r="J49" s="34" t="str">
        <v>Cash</v>
      </c>
      <c r="K49" s="34" t="str">
        <v>East</v>
      </c>
      <c r="L49" s="34" t="str">
        <v>Premium</v>
      </c>
      <c r="M49" s="36">
        <v>44972</v>
      </c>
      <c r="N49" s="34">
        <v>179.98</v>
      </c>
    </row>
    <row r="50" spans="1:14">
      <c r="A50" s="34" t="str">
        <v>TRX0132</v>
      </c>
      <c r="B50" s="36">
        <v>45523</v>
      </c>
      <c r="C50" s="34" t="str">
        <v>CUST047</v>
      </c>
      <c r="D50" s="34" t="str">
        <v>Gerald Murphy</v>
      </c>
      <c r="E50" s="34" t="str">
        <v>P001</v>
      </c>
      <c r="F50" s="34" t="str">
        <v>Laptop</v>
      </c>
      <c r="G50" s="38" t="str">
        <v>Electronics</v>
      </c>
      <c r="H50" s="39">
        <v>5</v>
      </c>
      <c r="I50" s="34">
        <v>899.99</v>
      </c>
      <c r="J50" s="34" t="str">
        <v>Debit Card</v>
      </c>
      <c r="K50" s="34" t="str">
        <v>East</v>
      </c>
      <c r="L50" s="34" t="str">
        <v>Basic</v>
      </c>
      <c r="M50" s="36">
        <v>44526</v>
      </c>
      <c r="N50" s="34">
        <v>4499.95</v>
      </c>
    </row>
    <row r="51" spans="1:14">
      <c r="A51" s="34" t="str">
        <v>TRX0031</v>
      </c>
      <c r="B51" s="36">
        <v>45523</v>
      </c>
      <c r="C51" s="34" t="str">
        <v>CUST036</v>
      </c>
      <c r="D51" s="34" t="str">
        <v>Nancy Collins</v>
      </c>
      <c r="E51" s="34" t="str">
        <v>P003</v>
      </c>
      <c r="F51" s="34" t="str">
        <v>Headphones</v>
      </c>
      <c r="G51" s="38" t="str">
        <v>Electronics</v>
      </c>
      <c r="H51" s="39">
        <v>3</v>
      </c>
      <c r="I51" s="34">
        <v>149.99</v>
      </c>
      <c r="J51" s="34" t="str">
        <v>PayPal</v>
      </c>
      <c r="K51" s="34" t="str">
        <v>East</v>
      </c>
      <c r="L51" s="34" t="str">
        <v>Basic</v>
      </c>
      <c r="M51" s="36">
        <v>44574</v>
      </c>
      <c r="N51" s="34">
        <v>449.97</v>
      </c>
    </row>
    <row r="52" spans="1:14">
      <c r="A52" s="34" t="str">
        <v>TRX0037</v>
      </c>
      <c r="B52" s="36">
        <v>45528</v>
      </c>
      <c r="C52" s="34" t="str">
        <v>CUST035</v>
      </c>
      <c r="D52" s="34" t="str">
        <v>Harry Morgan</v>
      </c>
      <c r="E52" s="34" t="str">
        <v>P009</v>
      </c>
      <c r="F52" s="34" t="str">
        <v>Monitor</v>
      </c>
      <c r="G52" s="38" t="str">
        <v>Electronics</v>
      </c>
      <c r="H52" s="39">
        <v>2</v>
      </c>
      <c r="I52" s="34">
        <v>249.99</v>
      </c>
      <c r="J52" s="34" t="str">
        <v>Cash</v>
      </c>
      <c r="K52" s="34" t="str">
        <v>South</v>
      </c>
      <c r="L52" s="34" t="str">
        <v>Standard</v>
      </c>
      <c r="M52" s="36">
        <v>44572</v>
      </c>
      <c r="N52" s="34">
        <v>499.98</v>
      </c>
    </row>
    <row r="53" spans="1:14">
      <c r="A53" s="34" t="str">
        <v>TRX0058</v>
      </c>
      <c r="B53" s="36">
        <v>45532</v>
      </c>
      <c r="C53" s="34" t="str">
        <v>CUST047</v>
      </c>
      <c r="D53" s="34" t="str">
        <v>Gerald Murphy</v>
      </c>
      <c r="E53" s="34" t="str">
        <v>P002</v>
      </c>
      <c r="F53" s="34" t="str">
        <v>Smartphone</v>
      </c>
      <c r="G53" s="38" t="str">
        <v>Electronics</v>
      </c>
      <c r="H53" s="39">
        <v>1</v>
      </c>
      <c r="I53" s="34">
        <v>699.99</v>
      </c>
      <c r="J53" s="34" t="str">
        <v>Cash</v>
      </c>
      <c r="K53" s="34" t="str">
        <v>Central</v>
      </c>
      <c r="L53" s="34" t="str">
        <v>Premium</v>
      </c>
      <c r="M53" s="36">
        <v>44497</v>
      </c>
      <c r="N53" s="34">
        <v>699.99</v>
      </c>
    </row>
    <row r="54" spans="1:14">
      <c r="A54" s="34" t="str">
        <v>TRX0170</v>
      </c>
      <c r="B54" s="36">
        <v>45532</v>
      </c>
      <c r="C54" s="34" t="str">
        <v>CUST034</v>
      </c>
      <c r="D54" s="34" t="str">
        <v>Carol Evans</v>
      </c>
      <c r="E54" s="34" t="str">
        <v>P003</v>
      </c>
      <c r="F54" s="34" t="str">
        <v>Headphones</v>
      </c>
      <c r="G54" s="38" t="str">
        <v>Electronics</v>
      </c>
      <c r="H54" s="39">
        <v>3</v>
      </c>
      <c r="I54" s="34">
        <v>149.99</v>
      </c>
      <c r="J54" s="34" t="str">
        <v>Cash</v>
      </c>
      <c r="K54" s="34" t="str">
        <v>West</v>
      </c>
      <c r="L54" s="34" t="str">
        <v>Premium</v>
      </c>
      <c r="M54" s="36">
        <v>45212</v>
      </c>
      <c r="N54" s="34">
        <v>449.97</v>
      </c>
    </row>
    <row r="55" spans="1:14">
      <c r="A55" s="34" t="str">
        <v>TRX0248</v>
      </c>
      <c r="B55" s="36">
        <v>45534</v>
      </c>
      <c r="C55" s="34" t="str">
        <v>CUST032</v>
      </c>
      <c r="D55" s="34" t="str">
        <v>Sandra Phillips</v>
      </c>
      <c r="E55" s="34" t="str">
        <v>P002</v>
      </c>
      <c r="F55" s="34" t="str">
        <v>Smartphone</v>
      </c>
      <c r="G55" s="38" t="str">
        <v>Electronics</v>
      </c>
      <c r="H55" s="39">
        <v>2</v>
      </c>
      <c r="I55" s="34">
        <v>699.99</v>
      </c>
      <c r="J55" s="34" t="str">
        <v>Credit Card</v>
      </c>
      <c r="K55" s="34" t="str">
        <v>North</v>
      </c>
      <c r="L55" s="34" t="str">
        <v>Premium</v>
      </c>
      <c r="M55" s="36">
        <v>44421</v>
      </c>
      <c r="N55" s="34">
        <v>1399.98</v>
      </c>
    </row>
    <row r="56" spans="1:14">
      <c r="A56" s="34" t="str">
        <v>TRX0099</v>
      </c>
      <c r="B56" s="36">
        <v>45537</v>
      </c>
      <c r="C56" s="34" t="str">
        <v>CUST034</v>
      </c>
      <c r="D56" s="34" t="str">
        <v>Carol Evans</v>
      </c>
      <c r="E56" s="34" t="str">
        <v>P009</v>
      </c>
      <c r="F56" s="34" t="str">
        <v>Monitor</v>
      </c>
      <c r="G56" s="38" t="str">
        <v>Electronics</v>
      </c>
      <c r="H56" s="39">
        <v>1</v>
      </c>
      <c r="I56" s="34">
        <v>249.99</v>
      </c>
      <c r="J56" s="34" t="str">
        <v>Credit Card</v>
      </c>
      <c r="K56" s="34" t="str">
        <v>West</v>
      </c>
      <c r="L56" s="34" t="str">
        <v>Premium</v>
      </c>
      <c r="M56" s="36">
        <v>44685</v>
      </c>
      <c r="N56" s="34">
        <v>249.99</v>
      </c>
    </row>
    <row r="57" spans="1:14">
      <c r="A57" s="34" t="str">
        <v>TRX0074</v>
      </c>
      <c r="B57" s="36">
        <v>45537</v>
      </c>
      <c r="C57" s="34" t="str">
        <v>CUST023</v>
      </c>
      <c r="D57" s="34" t="str">
        <v>Paul Baker</v>
      </c>
      <c r="E57" s="34" t="str">
        <v>P009</v>
      </c>
      <c r="F57" s="34" t="str">
        <v>Monitor</v>
      </c>
      <c r="G57" s="38" t="str">
        <v>Electronics</v>
      </c>
      <c r="H57" s="39">
        <v>1</v>
      </c>
      <c r="I57" s="34">
        <v>249.99</v>
      </c>
      <c r="J57" s="34" t="str">
        <v>Debit Card</v>
      </c>
      <c r="K57" s="34" t="str">
        <v>North</v>
      </c>
      <c r="L57" s="34" t="str">
        <v>Premium</v>
      </c>
      <c r="M57" s="36">
        <v>45332</v>
      </c>
      <c r="N57" s="34">
        <v>249.99</v>
      </c>
    </row>
    <row r="58" spans="1:14">
      <c r="A58" s="34" t="str">
        <v>TRX0225</v>
      </c>
      <c r="B58" s="36">
        <v>45538</v>
      </c>
      <c r="C58" s="34" t="str">
        <v>CUST039</v>
      </c>
      <c r="D58" s="34" t="str">
        <v>Lawrence Reed</v>
      </c>
      <c r="E58" s="34" t="str">
        <v>P002</v>
      </c>
      <c r="F58" s="34" t="str">
        <v>Smartphone</v>
      </c>
      <c r="G58" s="38" t="str">
        <v>Electronics</v>
      </c>
      <c r="H58" s="39">
        <v>2</v>
      </c>
      <c r="I58" s="34">
        <v>699.99</v>
      </c>
      <c r="J58" s="34" t="str">
        <v>Debit Card</v>
      </c>
      <c r="K58" s="34" t="str">
        <v>Central</v>
      </c>
      <c r="L58" s="34" t="str">
        <v>Premium</v>
      </c>
      <c r="M58" s="36">
        <v>44870</v>
      </c>
      <c r="N58" s="34">
        <v>1399.98</v>
      </c>
    </row>
    <row r="59" spans="1:14">
      <c r="A59" s="34" t="str">
        <v>TRX0211</v>
      </c>
      <c r="B59" s="36">
        <v>45548</v>
      </c>
      <c r="C59" s="34" t="str">
        <v>CUST046</v>
      </c>
      <c r="D59" s="34" t="str">
        <v>Kathleen Bennett</v>
      </c>
      <c r="E59" s="34" t="str">
        <v>P010</v>
      </c>
      <c r="F59" s="34" t="str">
        <v>Keyboard</v>
      </c>
      <c r="G59" s="38" t="str">
        <v>Electronics</v>
      </c>
      <c r="H59" s="39">
        <v>2</v>
      </c>
      <c r="I59" s="34">
        <v>89.99</v>
      </c>
      <c r="J59" s="34" t="str">
        <v>Credit Card</v>
      </c>
      <c r="K59" s="34" t="str">
        <v>South</v>
      </c>
      <c r="L59" s="34" t="str">
        <v>Premium</v>
      </c>
      <c r="M59" s="36">
        <v>44641</v>
      </c>
      <c r="N59" s="34">
        <v>179.98</v>
      </c>
    </row>
    <row r="60" spans="1:14">
      <c r="A60" s="34" t="str">
        <v>TRX0005</v>
      </c>
      <c r="B60" s="36">
        <v>45550</v>
      </c>
      <c r="C60" s="34" t="str">
        <v>CUST042</v>
      </c>
      <c r="D60" s="34" t="str">
        <v>Ruth Brooks</v>
      </c>
      <c r="E60" s="34" t="str">
        <v>P003</v>
      </c>
      <c r="F60" s="34" t="str">
        <v>Headphones</v>
      </c>
      <c r="G60" s="38" t="str">
        <v>Electronics</v>
      </c>
      <c r="H60" s="39">
        <v>4</v>
      </c>
      <c r="I60" s="34">
        <v>149.99</v>
      </c>
      <c r="J60" s="34" t="str">
        <v>Cash</v>
      </c>
      <c r="K60" s="34" t="str">
        <v>North</v>
      </c>
      <c r="L60" s="34" t="str">
        <v>Basic</v>
      </c>
      <c r="M60" s="36">
        <v>44909</v>
      </c>
      <c r="N60" s="34">
        <v>599.96</v>
      </c>
    </row>
    <row r="61" spans="1:14">
      <c r="A61" s="34" t="str">
        <v>TRX0195</v>
      </c>
      <c r="B61" s="36">
        <v>45551</v>
      </c>
      <c r="C61" s="34" t="str">
        <v>CUST026</v>
      </c>
      <c r="D61" s="34" t="str">
        <v>Karen Hill</v>
      </c>
      <c r="E61" s="34" t="str">
        <v>P009</v>
      </c>
      <c r="F61" s="34" t="str">
        <v>Monitor</v>
      </c>
      <c r="G61" s="38" t="str">
        <v>Electronics</v>
      </c>
      <c r="H61" s="39">
        <v>2</v>
      </c>
      <c r="I61" s="34">
        <v>249.99</v>
      </c>
      <c r="J61" s="34" t="str">
        <v>PayPal</v>
      </c>
      <c r="K61" s="34" t="str">
        <v>South</v>
      </c>
      <c r="L61" s="34" t="str">
        <v>Basic</v>
      </c>
      <c r="M61" s="36">
        <v>44993</v>
      </c>
      <c r="N61" s="34">
        <v>499.98</v>
      </c>
    </row>
    <row r="62" spans="1:14">
      <c r="A62" s="34" t="str">
        <v>TRX0077</v>
      </c>
      <c r="B62" s="36">
        <v>45554</v>
      </c>
      <c r="C62" s="34" t="str">
        <v>CUST019</v>
      </c>
      <c r="D62" s="34" t="str">
        <v>Daniel King</v>
      </c>
      <c r="E62" s="34" t="str">
        <v>P010</v>
      </c>
      <c r="F62" s="34" t="str">
        <v>Keyboard</v>
      </c>
      <c r="G62" s="38" t="str">
        <v>Electronics</v>
      </c>
      <c r="H62" s="39">
        <v>5</v>
      </c>
      <c r="I62" s="34">
        <v>89.99</v>
      </c>
      <c r="J62" s="34" t="str">
        <v>Credit Card</v>
      </c>
      <c r="K62" s="34" t="str">
        <v>East</v>
      </c>
      <c r="L62" s="34" t="str">
        <v>Premium</v>
      </c>
      <c r="M62" s="36">
        <v>44446</v>
      </c>
      <c r="N62" s="34">
        <v>449.95</v>
      </c>
    </row>
    <row r="63" spans="1:14">
      <c r="A63" s="34" t="str">
        <v>TRX0111</v>
      </c>
      <c r="B63" s="36">
        <v>45554</v>
      </c>
      <c r="C63" s="34" t="str">
        <v>CUST011</v>
      </c>
      <c r="D63" s="34" t="str">
        <v>William White</v>
      </c>
      <c r="E63" s="34" t="str">
        <v>P003</v>
      </c>
      <c r="F63" s="34" t="str">
        <v>Headphones</v>
      </c>
      <c r="G63" s="38" t="str">
        <v>Electronics</v>
      </c>
      <c r="H63" s="39">
        <v>1</v>
      </c>
      <c r="I63" s="34">
        <v>149.99</v>
      </c>
      <c r="J63" s="34" t="str">
        <v>PayPal</v>
      </c>
      <c r="K63" s="34" t="str">
        <v>East</v>
      </c>
      <c r="L63" s="34" t="str">
        <v>Standard</v>
      </c>
      <c r="M63" s="36">
        <v>44482</v>
      </c>
      <c r="N63" s="34">
        <v>149.99</v>
      </c>
    </row>
    <row r="64" spans="1:14">
      <c r="A64" s="34" t="str">
        <v>TRX0123</v>
      </c>
      <c r="B64" s="36">
        <v>45554</v>
      </c>
      <c r="C64" s="34" t="str">
        <v>CUST041</v>
      </c>
      <c r="D64" s="34" t="str">
        <v>Peter Richardson</v>
      </c>
      <c r="E64" s="34" t="str">
        <v>P002</v>
      </c>
      <c r="F64" s="34" t="str">
        <v>Smartphone</v>
      </c>
      <c r="G64" s="38" t="str">
        <v>Electronics</v>
      </c>
      <c r="H64" s="39">
        <v>4</v>
      </c>
      <c r="I64" s="34">
        <v>699.99</v>
      </c>
      <c r="J64" s="34" t="str">
        <v>PayPal</v>
      </c>
      <c r="K64" s="34" t="str">
        <v>South</v>
      </c>
      <c r="L64" s="34" t="str">
        <v>Basic</v>
      </c>
      <c r="M64" s="36">
        <v>44618</v>
      </c>
      <c r="N64" s="34">
        <v>2799.96</v>
      </c>
    </row>
    <row r="65" spans="1:14">
      <c r="A65" s="34" t="str">
        <v>TRX0177</v>
      </c>
      <c r="B65" s="36">
        <v>45559</v>
      </c>
      <c r="C65" s="34" t="str">
        <v>CUST032</v>
      </c>
      <c r="D65" s="34" t="str">
        <v>Sandra Phillips</v>
      </c>
      <c r="E65" s="34" t="str">
        <v>P001</v>
      </c>
      <c r="F65" s="34" t="str">
        <v>Laptop</v>
      </c>
      <c r="G65" s="38" t="str">
        <v>Electronics</v>
      </c>
      <c r="H65" s="39">
        <v>3</v>
      </c>
      <c r="I65" s="34">
        <v>899.99</v>
      </c>
      <c r="J65" s="34" t="str">
        <v>Credit Card</v>
      </c>
      <c r="K65" s="34" t="str">
        <v>North</v>
      </c>
      <c r="L65" s="34" t="str">
        <v>Standard</v>
      </c>
      <c r="M65" s="36">
        <v>45157</v>
      </c>
      <c r="N65" s="34">
        <v>2699.97</v>
      </c>
    </row>
    <row r="66" spans="1:14">
      <c r="A66" s="34" t="str">
        <v>TRX0203</v>
      </c>
      <c r="B66" s="36">
        <v>45572</v>
      </c>
      <c r="C66" s="34" t="str">
        <v>CUST032</v>
      </c>
      <c r="D66" s="34" t="str">
        <v>Sandra Phillips</v>
      </c>
      <c r="E66" s="34" t="str">
        <v>P003</v>
      </c>
      <c r="F66" s="34" t="str">
        <v>Headphones</v>
      </c>
      <c r="G66" s="38" t="str">
        <v>Electronics</v>
      </c>
      <c r="H66" s="39">
        <v>4</v>
      </c>
      <c r="I66" s="34">
        <v>149.99</v>
      </c>
      <c r="J66" s="34" t="str">
        <v>Credit Card</v>
      </c>
      <c r="K66" s="34" t="str">
        <v>North</v>
      </c>
      <c r="L66" s="34" t="str">
        <v>Premium</v>
      </c>
      <c r="M66" s="36">
        <v>45076</v>
      </c>
      <c r="N66" s="34">
        <v>599.96</v>
      </c>
    </row>
    <row r="67" spans="1:14">
      <c r="A67" s="34" t="str">
        <v>TRX0055</v>
      </c>
      <c r="B67" s="36">
        <v>45573</v>
      </c>
      <c r="C67" s="34" t="str">
        <v>CUST016</v>
      </c>
      <c r="D67" s="34" t="str">
        <v>Elizabeth Hall</v>
      </c>
      <c r="E67" s="34" t="str">
        <v>P002</v>
      </c>
      <c r="F67" s="34" t="str">
        <v>Smartphone</v>
      </c>
      <c r="G67" s="38" t="str">
        <v>Electronics</v>
      </c>
      <c r="H67" s="39">
        <v>2</v>
      </c>
      <c r="I67" s="34">
        <v>699.99</v>
      </c>
      <c r="J67" s="34" t="str">
        <v>Debit Card</v>
      </c>
      <c r="K67" s="34" t="str">
        <v>East</v>
      </c>
      <c r="L67" s="34" t="str">
        <v>Premium</v>
      </c>
      <c r="M67" s="36">
        <v>45274</v>
      </c>
      <c r="N67" s="34">
        <v>1399.98</v>
      </c>
    </row>
    <row r="68" spans="1:14">
      <c r="A68" s="34" t="str">
        <v>TRX0158</v>
      </c>
      <c r="B68" s="36">
        <v>45579</v>
      </c>
      <c r="C68" s="34" t="str">
        <v>CUST027</v>
      </c>
      <c r="D68" s="34" t="str">
        <v>George Adams</v>
      </c>
      <c r="E68" s="34" t="str">
        <v>P001</v>
      </c>
      <c r="F68" s="34" t="str">
        <v>Laptop</v>
      </c>
      <c r="G68" s="38" t="str">
        <v>Electronics</v>
      </c>
      <c r="H68" s="39">
        <v>3</v>
      </c>
      <c r="I68" s="34">
        <v>899.99</v>
      </c>
      <c r="J68" s="34" t="str">
        <v>PayPal</v>
      </c>
      <c r="K68" s="34" t="str">
        <v>West</v>
      </c>
      <c r="L68" s="34" t="str">
        <v>Basic</v>
      </c>
      <c r="M68" s="36">
        <v>45215</v>
      </c>
      <c r="N68" s="34">
        <v>2699.97</v>
      </c>
    </row>
    <row r="69" spans="1:14">
      <c r="A69" s="34" t="str">
        <v>TRX0173</v>
      </c>
      <c r="B69" s="36">
        <v>45581</v>
      </c>
      <c r="C69" s="34" t="str">
        <v>CUST018</v>
      </c>
      <c r="D69" s="34" t="str">
        <v>Barbara Young</v>
      </c>
      <c r="E69" s="34" t="str">
        <v>P002</v>
      </c>
      <c r="F69" s="34" t="str">
        <v>Smartphone</v>
      </c>
      <c r="G69" s="38" t="str">
        <v>Electronics</v>
      </c>
      <c r="H69" s="39">
        <v>5</v>
      </c>
      <c r="I69" s="34">
        <v>699.99</v>
      </c>
      <c r="J69" s="34" t="str">
        <v>Cash</v>
      </c>
      <c r="K69" s="34" t="str">
        <v>East</v>
      </c>
      <c r="L69" s="34" t="str">
        <v>Standard</v>
      </c>
      <c r="M69" s="36">
        <v>45008</v>
      </c>
      <c r="N69" s="34">
        <v>3499.95</v>
      </c>
    </row>
    <row r="70" spans="1:14">
      <c r="A70" s="34" t="str">
        <v>TRX0034</v>
      </c>
      <c r="B70" s="36">
        <v>45581</v>
      </c>
      <c r="C70" s="34" t="str">
        <v>CUST049</v>
      </c>
      <c r="D70" s="34" t="str">
        <v>Raymond Ross</v>
      </c>
      <c r="E70" s="34" t="str">
        <v>P002</v>
      </c>
      <c r="F70" s="34" t="str">
        <v>Smartphone</v>
      </c>
      <c r="G70" s="38" t="str">
        <v>Electronics</v>
      </c>
      <c r="H70" s="39">
        <v>4</v>
      </c>
      <c r="I70" s="34">
        <v>699.99</v>
      </c>
      <c r="J70" s="34" t="str">
        <v>Credit Card</v>
      </c>
      <c r="K70" s="34" t="str">
        <v>Central</v>
      </c>
      <c r="L70" s="34" t="str">
        <v>Basic</v>
      </c>
      <c r="M70" s="36">
        <v>45385</v>
      </c>
      <c r="N70" s="34">
        <v>2799.96</v>
      </c>
    </row>
    <row r="71" spans="1:14">
      <c r="A71" s="34" t="str">
        <v>TRX0189</v>
      </c>
      <c r="B71" s="36">
        <v>45581</v>
      </c>
      <c r="C71" s="34" t="str">
        <v>CUST040</v>
      </c>
      <c r="D71" s="34" t="str">
        <v>Sharon Butler</v>
      </c>
      <c r="E71" s="34" t="str">
        <v>P001</v>
      </c>
      <c r="F71" s="34" t="str">
        <v>Laptop</v>
      </c>
      <c r="G71" s="38" t="str">
        <v>Electronics</v>
      </c>
      <c r="H71" s="39">
        <v>1</v>
      </c>
      <c r="I71" s="34">
        <v>899.99</v>
      </c>
      <c r="J71" s="34" t="str">
        <v>Credit Card</v>
      </c>
      <c r="K71" s="34" t="str">
        <v>East</v>
      </c>
      <c r="L71" s="34" t="str">
        <v>Standard</v>
      </c>
      <c r="M71" s="36">
        <v>45369</v>
      </c>
      <c r="N71" s="34">
        <v>899.99</v>
      </c>
    </row>
    <row r="72" spans="1:14">
      <c r="A72" s="34" t="str">
        <v>TRX0190</v>
      </c>
      <c r="B72" s="36">
        <v>45583</v>
      </c>
      <c r="C72" s="34" t="str">
        <v>CUST039</v>
      </c>
      <c r="D72" s="34" t="str">
        <v>Lawrence Reed</v>
      </c>
      <c r="E72" s="34" t="str">
        <v>P003</v>
      </c>
      <c r="F72" s="34" t="str">
        <v>Headphones</v>
      </c>
      <c r="G72" s="38" t="str">
        <v>Electronics</v>
      </c>
      <c r="H72" s="39">
        <v>2</v>
      </c>
      <c r="I72" s="34">
        <v>149.99</v>
      </c>
      <c r="J72" s="34" t="str">
        <v>Credit Card</v>
      </c>
      <c r="K72" s="34" t="str">
        <v>West</v>
      </c>
      <c r="L72" s="34" t="str">
        <v>Basic</v>
      </c>
      <c r="M72" s="36">
        <v>44916</v>
      </c>
      <c r="N72" s="34">
        <v>299.98</v>
      </c>
    </row>
    <row r="73" spans="1:14">
      <c r="A73" s="34" t="str">
        <v>TRX0079</v>
      </c>
      <c r="B73" s="36">
        <v>45586</v>
      </c>
      <c r="C73" s="34" t="str">
        <v>CUST039</v>
      </c>
      <c r="D73" s="34" t="str">
        <v>Lawrence Reed</v>
      </c>
      <c r="E73" s="34" t="str">
        <v>P010</v>
      </c>
      <c r="F73" s="34" t="str">
        <v>Keyboard</v>
      </c>
      <c r="G73" s="38" t="str">
        <v>Electronics</v>
      </c>
      <c r="H73" s="39">
        <v>3</v>
      </c>
      <c r="I73" s="34">
        <v>89.99</v>
      </c>
      <c r="J73" s="34" t="str">
        <v>PayPal</v>
      </c>
      <c r="K73" s="34" t="str">
        <v>Central</v>
      </c>
      <c r="L73" s="34" t="str">
        <v>Basic</v>
      </c>
      <c r="M73" s="36">
        <v>44551</v>
      </c>
      <c r="N73" s="34">
        <v>269.97000000000003</v>
      </c>
    </row>
    <row r="74" spans="1:14">
      <c r="A74" s="34" t="str">
        <v>TRX0095</v>
      </c>
      <c r="B74" s="36">
        <v>45588</v>
      </c>
      <c r="C74" s="34" t="str">
        <v>CUST046</v>
      </c>
      <c r="D74" s="34" t="str">
        <v>Kathleen Bennett</v>
      </c>
      <c r="E74" s="34" t="str">
        <v>P003</v>
      </c>
      <c r="F74" s="34" t="str">
        <v>Headphones</v>
      </c>
      <c r="G74" s="38" t="str">
        <v>Electronics</v>
      </c>
      <c r="H74" s="39">
        <v>2</v>
      </c>
      <c r="I74" s="34">
        <v>149.99</v>
      </c>
      <c r="J74" s="34" t="str">
        <v>PayPal</v>
      </c>
      <c r="K74" s="34" t="str">
        <v>Central</v>
      </c>
      <c r="L74" s="34" t="str">
        <v>Basic</v>
      </c>
      <c r="M74" s="36">
        <v>44473</v>
      </c>
      <c r="N74" s="34">
        <v>299.98</v>
      </c>
    </row>
    <row r="75" spans="1:14">
      <c r="A75" s="34" t="str">
        <v>TRX0009</v>
      </c>
      <c r="B75" s="36">
        <v>45588</v>
      </c>
      <c r="C75" s="34" t="str">
        <v>CUST004</v>
      </c>
      <c r="D75" s="34" t="str">
        <v>Sarah Davis</v>
      </c>
      <c r="E75" s="34" t="str">
        <v>P002</v>
      </c>
      <c r="F75" s="34" t="str">
        <v>Smartphone</v>
      </c>
      <c r="G75" s="38" t="str">
        <v>Electronics</v>
      </c>
      <c r="H75" s="39">
        <v>2</v>
      </c>
      <c r="I75" s="34">
        <v>699.99</v>
      </c>
      <c r="J75" s="34" t="str">
        <v>Cash</v>
      </c>
      <c r="K75" s="34" t="str">
        <v>Central</v>
      </c>
      <c r="L75" s="34" t="str">
        <v>Basic</v>
      </c>
      <c r="M75" s="36">
        <v>44992</v>
      </c>
      <c r="N75" s="34">
        <v>1399.98</v>
      </c>
    </row>
    <row r="76" spans="1:14">
      <c r="A76" s="34" t="str">
        <v>TRX0167</v>
      </c>
      <c r="B76" s="36">
        <v>45589</v>
      </c>
      <c r="C76" s="34" t="str">
        <v>CUST028</v>
      </c>
      <c r="D76" s="34" t="str">
        <v>Betty Campbell</v>
      </c>
      <c r="E76" s="34" t="str">
        <v>P002</v>
      </c>
      <c r="F76" s="34" t="str">
        <v>Smartphone</v>
      </c>
      <c r="G76" s="38" t="str">
        <v>Electronics</v>
      </c>
      <c r="H76" s="39">
        <v>5</v>
      </c>
      <c r="I76" s="34">
        <v>699.99</v>
      </c>
      <c r="J76" s="34" t="str">
        <v>Cash</v>
      </c>
      <c r="K76" s="34" t="str">
        <v>North</v>
      </c>
      <c r="L76" s="34" t="str">
        <v>Premium</v>
      </c>
      <c r="M76" s="36">
        <v>44635</v>
      </c>
      <c r="N76" s="34">
        <v>3499.95</v>
      </c>
    </row>
    <row r="77" spans="1:14">
      <c r="A77" s="34" t="str">
        <v>TRX0153</v>
      </c>
      <c r="B77" s="36">
        <v>45592</v>
      </c>
      <c r="C77" s="34" t="str">
        <v>CUST049</v>
      </c>
      <c r="D77" s="34" t="str">
        <v>Raymond Ross</v>
      </c>
      <c r="E77" s="34" t="str">
        <v>P010</v>
      </c>
      <c r="F77" s="34" t="str">
        <v>Keyboard</v>
      </c>
      <c r="G77" s="38" t="str">
        <v>Electronics</v>
      </c>
      <c r="H77" s="39">
        <v>3</v>
      </c>
      <c r="I77" s="34">
        <v>89.99</v>
      </c>
      <c r="J77" s="34" t="str">
        <v>Credit Card</v>
      </c>
      <c r="K77" s="34" t="str">
        <v>North</v>
      </c>
      <c r="L77" s="34" t="str">
        <v>Standard</v>
      </c>
      <c r="M77" s="36">
        <v>44615</v>
      </c>
      <c r="N77" s="34">
        <v>269.97000000000003</v>
      </c>
    </row>
    <row r="78" spans="1:14">
      <c r="A78" s="34" t="str">
        <v>TRX0057</v>
      </c>
      <c r="B78" s="36">
        <v>45597</v>
      </c>
      <c r="C78" s="34" t="str">
        <v>CUST023</v>
      </c>
      <c r="D78" s="34" t="str">
        <v>Paul Baker</v>
      </c>
      <c r="E78" s="34" t="str">
        <v>P009</v>
      </c>
      <c r="F78" s="34" t="str">
        <v>Monitor</v>
      </c>
      <c r="G78" s="38" t="str">
        <v>Electronics</v>
      </c>
      <c r="H78" s="39">
        <v>5</v>
      </c>
      <c r="I78" s="34">
        <v>249.99</v>
      </c>
      <c r="J78" s="34" t="str">
        <v>Credit Card</v>
      </c>
      <c r="K78" s="34" t="str">
        <v>South</v>
      </c>
      <c r="L78" s="34" t="str">
        <v>Standard</v>
      </c>
      <c r="M78" s="36">
        <v>44881</v>
      </c>
      <c r="N78" s="34">
        <v>1249.95</v>
      </c>
    </row>
    <row r="79" spans="1:14">
      <c r="A79" s="34" t="str">
        <v>TRX0060</v>
      </c>
      <c r="B79" s="36">
        <v>45603</v>
      </c>
      <c r="C79" s="34" t="str">
        <v>CUST012</v>
      </c>
      <c r="D79" s="34" t="str">
        <v>Patricia Moore</v>
      </c>
      <c r="E79" s="34" t="str">
        <v>P010</v>
      </c>
      <c r="F79" s="34" t="str">
        <v>Keyboard</v>
      </c>
      <c r="G79" s="38" t="str">
        <v>Electronics</v>
      </c>
      <c r="H79" s="39">
        <v>3</v>
      </c>
      <c r="I79" s="34">
        <v>89.99</v>
      </c>
      <c r="J79" s="34" t="str">
        <v>Credit Card</v>
      </c>
      <c r="K79" s="34" t="str">
        <v>North</v>
      </c>
      <c r="L79" s="34" t="str">
        <v>Premium</v>
      </c>
      <c r="M79" s="36">
        <v>44420</v>
      </c>
      <c r="N79" s="34">
        <v>269.97000000000003</v>
      </c>
    </row>
    <row r="80" spans="1:14">
      <c r="A80" s="34" t="str">
        <v>TRX0090</v>
      </c>
      <c r="B80" s="36">
        <v>45605</v>
      </c>
      <c r="C80" s="34" t="str">
        <v>CUST020</v>
      </c>
      <c r="D80" s="34" t="str">
        <v>Margaret Wright</v>
      </c>
      <c r="E80" s="34" t="str">
        <v>P009</v>
      </c>
      <c r="F80" s="34" t="str">
        <v>Monitor</v>
      </c>
      <c r="G80" s="38" t="str">
        <v>Electronics</v>
      </c>
      <c r="H80" s="39">
        <v>1</v>
      </c>
      <c r="I80" s="34">
        <v>249.99</v>
      </c>
      <c r="J80" s="34" t="str">
        <v>Credit Card</v>
      </c>
      <c r="K80" s="34" t="str">
        <v>North</v>
      </c>
      <c r="L80" s="34" t="str">
        <v>Premium</v>
      </c>
      <c r="M80" s="36">
        <v>44828</v>
      </c>
      <c r="N80" s="34">
        <v>249.99</v>
      </c>
    </row>
    <row r="81" spans="1:14">
      <c r="A81" s="34" t="str">
        <v>TRX0035</v>
      </c>
      <c r="B81" s="36">
        <v>45607</v>
      </c>
      <c r="C81" s="34" t="str">
        <v>CUST041</v>
      </c>
      <c r="D81" s="34" t="str">
        <v>Peter Richardson</v>
      </c>
      <c r="E81" s="34" t="str">
        <v>P003</v>
      </c>
      <c r="F81" s="34" t="str">
        <v>Headphones</v>
      </c>
      <c r="G81" s="38" t="str">
        <v>Electronics</v>
      </c>
      <c r="H81" s="39">
        <v>3</v>
      </c>
      <c r="I81" s="34">
        <v>149.99</v>
      </c>
      <c r="J81" s="34" t="str">
        <v>Cash</v>
      </c>
      <c r="K81" s="34" t="str">
        <v>North</v>
      </c>
      <c r="L81" s="34" t="str">
        <v>Basic</v>
      </c>
      <c r="M81" s="36">
        <v>44769</v>
      </c>
      <c r="N81" s="34">
        <v>449.97</v>
      </c>
    </row>
    <row r="82" spans="1:14">
      <c r="A82" s="34" t="str">
        <v>TRX0076</v>
      </c>
      <c r="B82" s="36">
        <v>45607</v>
      </c>
      <c r="C82" s="34" t="str">
        <v>CUST012</v>
      </c>
      <c r="D82" s="34" t="str">
        <v>Patricia Moore</v>
      </c>
      <c r="E82" s="34" t="str">
        <v>P009</v>
      </c>
      <c r="F82" s="34" t="str">
        <v>Monitor</v>
      </c>
      <c r="G82" s="38" t="str">
        <v>Electronics</v>
      </c>
      <c r="H82" s="39">
        <v>4</v>
      </c>
      <c r="I82" s="34">
        <v>249.99</v>
      </c>
      <c r="J82" s="34" t="str">
        <v>Credit Card</v>
      </c>
      <c r="K82" s="34" t="str">
        <v>West</v>
      </c>
      <c r="L82" s="34" t="str">
        <v>Standard</v>
      </c>
      <c r="M82" s="36">
        <v>44659</v>
      </c>
      <c r="N82" s="34">
        <v>999.96</v>
      </c>
    </row>
    <row r="83" spans="1:14">
      <c r="A83" s="34" t="str">
        <v>TRX0033</v>
      </c>
      <c r="B83" s="36">
        <v>45613</v>
      </c>
      <c r="C83" s="34" t="str">
        <v>CUST025</v>
      </c>
      <c r="D83" s="34" t="str">
        <v>Mark Carter</v>
      </c>
      <c r="E83" s="34" t="str">
        <v>P002</v>
      </c>
      <c r="F83" s="34" t="str">
        <v>Smartphone</v>
      </c>
      <c r="G83" s="38" t="str">
        <v>Electronics</v>
      </c>
      <c r="H83" s="39">
        <v>2</v>
      </c>
      <c r="I83" s="34">
        <v>699.99</v>
      </c>
      <c r="J83" s="34" t="str">
        <v>PayPal</v>
      </c>
      <c r="K83" s="34" t="str">
        <v>West</v>
      </c>
      <c r="L83" s="34" t="str">
        <v>Standard</v>
      </c>
      <c r="M83" s="36">
        <v>44770</v>
      </c>
      <c r="N83" s="34">
        <v>1399.98</v>
      </c>
    </row>
    <row r="84" spans="1:14">
      <c r="A84" s="34" t="str">
        <v>TRX0148</v>
      </c>
      <c r="B84" s="36">
        <v>45619</v>
      </c>
      <c r="C84" s="34" t="str">
        <v>CUST004</v>
      </c>
      <c r="D84" s="34" t="str">
        <v>Sarah Davis</v>
      </c>
      <c r="E84" s="34" t="str">
        <v>P002</v>
      </c>
      <c r="F84" s="34" t="str">
        <v>Smartphone</v>
      </c>
      <c r="G84" s="38" t="str">
        <v>Electronics</v>
      </c>
      <c r="H84" s="39">
        <v>3</v>
      </c>
      <c r="I84" s="34">
        <v>699.99</v>
      </c>
      <c r="J84" s="34" t="str">
        <v>PayPal</v>
      </c>
      <c r="K84" s="34" t="str">
        <v>West</v>
      </c>
      <c r="L84" s="34" t="str">
        <v>Standard</v>
      </c>
      <c r="M84" s="36">
        <v>44583</v>
      </c>
      <c r="N84" s="34">
        <v>2099.9699999999998</v>
      </c>
    </row>
    <row r="85" spans="1:14">
      <c r="A85" s="34" t="str">
        <v>TRX0012</v>
      </c>
      <c r="B85" s="36">
        <v>45622</v>
      </c>
      <c r="C85" s="34" t="str">
        <v>CUST045</v>
      </c>
      <c r="D85" s="34" t="str">
        <v>Douglas Watson</v>
      </c>
      <c r="E85" s="34" t="str">
        <v>P009</v>
      </c>
      <c r="F85" s="34" t="str">
        <v>Monitor</v>
      </c>
      <c r="G85" s="38" t="str">
        <v>Electronics</v>
      </c>
      <c r="H85" s="39">
        <v>5</v>
      </c>
      <c r="I85" s="34">
        <v>249.99</v>
      </c>
      <c r="J85" s="34" t="str">
        <v>Credit Card</v>
      </c>
      <c r="K85" s="34" t="str">
        <v>North</v>
      </c>
      <c r="L85" s="34" t="str">
        <v>Basic</v>
      </c>
      <c r="M85" s="36">
        <v>44873</v>
      </c>
      <c r="N85" s="34">
        <v>1249.95</v>
      </c>
    </row>
    <row r="86" spans="1:14">
      <c r="A86" s="34" t="str">
        <v>TRX0094</v>
      </c>
      <c r="B86" s="36">
        <v>45627</v>
      </c>
      <c r="C86" s="34" t="str">
        <v>CUST017</v>
      </c>
      <c r="D86" s="34" t="str">
        <v>Charles Allen</v>
      </c>
      <c r="E86" s="34" t="str">
        <v>P009</v>
      </c>
      <c r="F86" s="34" t="str">
        <v>Monitor</v>
      </c>
      <c r="G86" s="38" t="str">
        <v>Electronics</v>
      </c>
      <c r="H86" s="39">
        <v>5</v>
      </c>
      <c r="I86" s="34">
        <v>249.99</v>
      </c>
      <c r="J86" s="34" t="str">
        <v>Cash</v>
      </c>
      <c r="K86" s="34" t="str">
        <v>Central</v>
      </c>
      <c r="L86" s="34" t="str">
        <v>Premium</v>
      </c>
      <c r="M86" s="36">
        <v>44485</v>
      </c>
      <c r="N86" s="34">
        <v>1249.95</v>
      </c>
    </row>
    <row r="87" spans="1:14">
      <c r="A87" s="34" t="str">
        <v>TRX0133</v>
      </c>
      <c r="B87" s="36">
        <v>45627</v>
      </c>
      <c r="C87" s="34" t="str">
        <v>CUST013</v>
      </c>
      <c r="D87" s="34" t="str">
        <v>Joseph Jackson</v>
      </c>
      <c r="E87" s="34" t="str">
        <v>P003</v>
      </c>
      <c r="F87" s="34" t="str">
        <v>Headphones</v>
      </c>
      <c r="G87" s="38" t="str">
        <v>Electronics</v>
      </c>
      <c r="H87" s="39">
        <v>2</v>
      </c>
      <c r="I87" s="34">
        <v>149.99</v>
      </c>
      <c r="J87" s="34" t="str">
        <v>Cash</v>
      </c>
      <c r="K87" s="34" t="str">
        <v>South</v>
      </c>
      <c r="L87" s="34" t="str">
        <v>Premium</v>
      </c>
      <c r="M87" s="36">
        <v>44475</v>
      </c>
      <c r="N87" s="34">
        <v>299.98</v>
      </c>
    </row>
    <row r="88" spans="1:14">
      <c r="A88" s="34" t="str">
        <v>TRX0201</v>
      </c>
      <c r="B88" s="36">
        <v>45627</v>
      </c>
      <c r="C88" s="34" t="str">
        <v>CUST025</v>
      </c>
      <c r="D88" s="34" t="str">
        <v>Mark Carter</v>
      </c>
      <c r="E88" s="34" t="str">
        <v>P002</v>
      </c>
      <c r="F88" s="34" t="str">
        <v>Smartphone</v>
      </c>
      <c r="G88" s="38" t="str">
        <v>Electronics</v>
      </c>
      <c r="H88" s="39">
        <v>5</v>
      </c>
      <c r="I88" s="34">
        <v>699.99</v>
      </c>
      <c r="J88" s="34" t="str">
        <v>Debit Card</v>
      </c>
      <c r="K88" s="34" t="str">
        <v>West</v>
      </c>
      <c r="L88" s="34" t="str">
        <v>Standard</v>
      </c>
      <c r="M88" s="36">
        <v>44944</v>
      </c>
      <c r="N88" s="34">
        <v>3499.95</v>
      </c>
    </row>
    <row r="89" spans="1:14">
      <c r="A89" s="34" t="str">
        <v>TRX0137</v>
      </c>
      <c r="B89" s="36">
        <v>45629</v>
      </c>
      <c r="C89" s="34" t="str">
        <v>CUST011</v>
      </c>
      <c r="D89" s="34" t="str">
        <v>William White</v>
      </c>
      <c r="E89" s="34" t="str">
        <v>P009</v>
      </c>
      <c r="F89" s="34" t="str">
        <v>Monitor</v>
      </c>
      <c r="G89" s="38" t="str">
        <v>Electronics</v>
      </c>
      <c r="H89" s="39">
        <v>4</v>
      </c>
      <c r="I89" s="34">
        <v>249.99</v>
      </c>
      <c r="J89" s="34" t="str">
        <v>PayPal</v>
      </c>
      <c r="K89" s="34" t="str">
        <v>East</v>
      </c>
      <c r="L89" s="34" t="str">
        <v>Premium</v>
      </c>
      <c r="M89" s="36">
        <v>45098</v>
      </c>
      <c r="N89" s="34">
        <v>999.96</v>
      </c>
    </row>
    <row r="90" spans="1:14">
      <c r="A90" s="34" t="str">
        <v>TRX0066</v>
      </c>
      <c r="B90" s="36">
        <v>45630</v>
      </c>
      <c r="C90" s="34" t="str">
        <v>CUST024</v>
      </c>
      <c r="D90" s="34" t="str">
        <v>Dorothy Nelson</v>
      </c>
      <c r="E90" s="34" t="str">
        <v>P002</v>
      </c>
      <c r="F90" s="34" t="str">
        <v>Smartphone</v>
      </c>
      <c r="G90" s="38" t="str">
        <v>Electronics</v>
      </c>
      <c r="H90" s="39">
        <v>4</v>
      </c>
      <c r="I90" s="34">
        <v>699.99</v>
      </c>
      <c r="J90" s="34" t="str">
        <v>Credit Card</v>
      </c>
      <c r="K90" s="34" t="str">
        <v>North</v>
      </c>
      <c r="L90" s="34" t="str">
        <v>Premium</v>
      </c>
      <c r="M90" s="36">
        <v>44703</v>
      </c>
      <c r="N90" s="34">
        <v>2799.96</v>
      </c>
    </row>
    <row r="91" spans="1:14">
      <c r="A91" s="34" t="str">
        <v>TRX0180</v>
      </c>
      <c r="B91" s="36">
        <v>45635</v>
      </c>
      <c r="C91" s="34" t="str">
        <v>CUST036</v>
      </c>
      <c r="D91" s="34" t="str">
        <v>Nancy Collins</v>
      </c>
      <c r="E91" s="34" t="str">
        <v>P009</v>
      </c>
      <c r="F91" s="34" t="str">
        <v>Monitor</v>
      </c>
      <c r="G91" s="38" t="str">
        <v>Electronics</v>
      </c>
      <c r="H91" s="39">
        <v>2</v>
      </c>
      <c r="I91" s="34">
        <v>249.99</v>
      </c>
      <c r="J91" s="34" t="str">
        <v>Credit Card</v>
      </c>
      <c r="K91" s="34" t="str">
        <v>Central</v>
      </c>
      <c r="L91" s="34" t="str">
        <v>Premium</v>
      </c>
      <c r="M91" s="36">
        <v>44396</v>
      </c>
      <c r="N91" s="34">
        <v>499.98</v>
      </c>
    </row>
    <row r="92" spans="1:14">
      <c r="A92" s="34" t="str">
        <v>TRX0032</v>
      </c>
      <c r="B92" s="36">
        <v>45638</v>
      </c>
      <c r="C92" s="34" t="str">
        <v>CUST041</v>
      </c>
      <c r="D92" s="34" t="str">
        <v>Peter Richardson</v>
      </c>
      <c r="E92" s="34" t="str">
        <v>P001</v>
      </c>
      <c r="F92" s="34" t="str">
        <v>Laptop</v>
      </c>
      <c r="G92" s="38" t="str">
        <v>Electronics</v>
      </c>
      <c r="H92" s="39">
        <v>2</v>
      </c>
      <c r="I92" s="34">
        <v>899.99</v>
      </c>
      <c r="J92" s="34" t="str">
        <v>Cash</v>
      </c>
      <c r="K92" s="34" t="str">
        <v>North</v>
      </c>
      <c r="L92" s="34" t="str">
        <v>Basic</v>
      </c>
      <c r="M92" s="36">
        <v>44406</v>
      </c>
      <c r="N92" s="34">
        <v>1799.98</v>
      </c>
    </row>
    <row r="93" spans="1:14">
      <c r="A93" s="34" t="str">
        <v>TRX0183</v>
      </c>
      <c r="B93" s="36">
        <v>45645</v>
      </c>
      <c r="C93" s="34" t="str">
        <v>CUST007</v>
      </c>
      <c r="D93" s="34" t="str">
        <v>David Martinez</v>
      </c>
      <c r="E93" s="34" t="str">
        <v>P010</v>
      </c>
      <c r="F93" s="34" t="str">
        <v>Keyboard</v>
      </c>
      <c r="G93" s="38" t="str">
        <v>Electronics</v>
      </c>
      <c r="H93" s="39">
        <v>1</v>
      </c>
      <c r="I93" s="34">
        <v>89.99</v>
      </c>
      <c r="J93" s="34" t="str">
        <v>Debit Card</v>
      </c>
      <c r="K93" s="34" t="str">
        <v>Central</v>
      </c>
      <c r="L93" s="34" t="str">
        <v>Standard</v>
      </c>
      <c r="M93" s="36">
        <v>44760</v>
      </c>
      <c r="N93" s="34">
        <v>89.99</v>
      </c>
    </row>
    <row r="94" spans="1:14">
      <c r="A94" s="34" t="str">
        <v>TRX0163</v>
      </c>
      <c r="B94" s="36">
        <v>45645</v>
      </c>
      <c r="C94" s="34" t="str">
        <v>CUST019</v>
      </c>
      <c r="D94" s="34" t="str">
        <v>Daniel King</v>
      </c>
      <c r="E94" s="34" t="str">
        <v>P001</v>
      </c>
      <c r="F94" s="34" t="str">
        <v>Laptop</v>
      </c>
      <c r="G94" s="38" t="str">
        <v>Electronics</v>
      </c>
      <c r="H94" s="39">
        <v>5</v>
      </c>
      <c r="I94" s="34">
        <v>899.99</v>
      </c>
      <c r="J94" s="34" t="str">
        <v>Debit Card</v>
      </c>
      <c r="K94" s="34" t="str">
        <v>East</v>
      </c>
      <c r="L94" s="34" t="str">
        <v>Standard</v>
      </c>
      <c r="M94" s="36">
        <v>44625</v>
      </c>
      <c r="N94" s="34">
        <v>4499.95</v>
      </c>
    </row>
    <row r="95" spans="1:14">
      <c r="A95" s="34" t="str">
        <v>TRX0164</v>
      </c>
      <c r="B95" s="36">
        <v>45648</v>
      </c>
      <c r="C95" s="34" t="str">
        <v>CUST014</v>
      </c>
      <c r="D95" s="34" t="str">
        <v>Linda Martin</v>
      </c>
      <c r="E95" s="34" t="str">
        <v>P003</v>
      </c>
      <c r="F95" s="34" t="str">
        <v>Headphones</v>
      </c>
      <c r="G95" s="38" t="str">
        <v>Electronics</v>
      </c>
      <c r="H95" s="39">
        <v>2</v>
      </c>
      <c r="I95" s="34">
        <v>149.99</v>
      </c>
      <c r="J95" s="34" t="str">
        <v>Debit Card</v>
      </c>
      <c r="K95" s="34" t="str">
        <v>West</v>
      </c>
      <c r="L95" s="34" t="str">
        <v>Premium</v>
      </c>
      <c r="M95" s="36">
        <v>45280</v>
      </c>
      <c r="N95" s="34">
        <v>299.98</v>
      </c>
    </row>
    <row r="96" spans="1:14">
      <c r="A96" s="34" t="str">
        <v>TRX0156</v>
      </c>
      <c r="B96" s="36">
        <v>45655</v>
      </c>
      <c r="C96" s="34" t="str">
        <v>CUST009</v>
      </c>
      <c r="D96" s="34" t="str">
        <v>Robert Thomas</v>
      </c>
      <c r="E96" s="34" t="str">
        <v>P010</v>
      </c>
      <c r="F96" s="34" t="str">
        <v>Keyboard</v>
      </c>
      <c r="G96" s="38" t="str">
        <v>Electronics</v>
      </c>
      <c r="H96" s="39">
        <v>1</v>
      </c>
      <c r="I96" s="34">
        <v>89.99</v>
      </c>
      <c r="J96" s="34" t="str">
        <v>Credit Card</v>
      </c>
      <c r="K96" s="34" t="str">
        <v>South</v>
      </c>
      <c r="L96" s="34" t="str">
        <v>Premium</v>
      </c>
      <c r="M96" s="36">
        <v>44591</v>
      </c>
      <c r="N96" s="34">
        <v>89.99</v>
      </c>
    </row>
    <row r="97" spans="1:14">
      <c r="A97" s="34" t="str">
        <v>TRX0207</v>
      </c>
      <c r="B97" s="36">
        <v>45657</v>
      </c>
      <c r="C97" s="34" t="str">
        <v>CUST025</v>
      </c>
      <c r="D97" s="34" t="str">
        <v>Mark Carter</v>
      </c>
      <c r="E97" s="34" t="str">
        <v>P001</v>
      </c>
      <c r="F97" s="34" t="str">
        <v>Laptop</v>
      </c>
      <c r="G97" s="38" t="str">
        <v>Electronics</v>
      </c>
      <c r="H97" s="39">
        <v>1</v>
      </c>
      <c r="I97" s="34">
        <v>899.99</v>
      </c>
      <c r="J97" s="34" t="str">
        <v>PayPal</v>
      </c>
      <c r="K97" s="34" t="str">
        <v>North</v>
      </c>
      <c r="L97" s="34" t="str">
        <v>Premium</v>
      </c>
      <c r="M97" s="36">
        <v>45050</v>
      </c>
      <c r="N97" s="34">
        <v>899.99</v>
      </c>
    </row>
    <row r="98" spans="1:14">
      <c r="A98" s="34" t="str">
        <v>TRX0056</v>
      </c>
      <c r="B98" s="36">
        <v>45660</v>
      </c>
      <c r="C98" s="34" t="str">
        <v>CUST019</v>
      </c>
      <c r="D98" s="34" t="str">
        <v>Daniel King</v>
      </c>
      <c r="E98" s="34" t="str">
        <v>P010</v>
      </c>
      <c r="F98" s="34" t="str">
        <v>Keyboard</v>
      </c>
      <c r="G98" s="38" t="str">
        <v>Electronics</v>
      </c>
      <c r="H98" s="39">
        <v>2</v>
      </c>
      <c r="I98" s="34">
        <v>89.99</v>
      </c>
      <c r="J98" s="34" t="str">
        <v>Credit Card</v>
      </c>
      <c r="K98" s="34" t="str">
        <v>South</v>
      </c>
      <c r="L98" s="34" t="str">
        <v>Premium</v>
      </c>
      <c r="M98" s="36">
        <v>44564</v>
      </c>
      <c r="N98" s="34">
        <v>179.98</v>
      </c>
    </row>
    <row r="99" spans="1:14">
      <c r="A99" s="34" t="str">
        <v>TRX0026</v>
      </c>
      <c r="B99" s="36">
        <v>45661</v>
      </c>
      <c r="C99" s="34" t="str">
        <v>CUST037</v>
      </c>
      <c r="D99" s="34" t="str">
        <v>Arthur Edwards</v>
      </c>
      <c r="E99" s="34" t="str">
        <v>P001</v>
      </c>
      <c r="F99" s="34" t="str">
        <v>Laptop</v>
      </c>
      <c r="G99" s="38" t="str">
        <v>Electronics</v>
      </c>
      <c r="H99" s="39">
        <v>1</v>
      </c>
      <c r="I99" s="34">
        <v>899.99</v>
      </c>
      <c r="J99" s="34" t="str">
        <v>PayPal</v>
      </c>
      <c r="K99" s="34" t="str">
        <v>North</v>
      </c>
      <c r="L99" s="34" t="str">
        <v>Standard</v>
      </c>
      <c r="M99" s="36">
        <v>44752</v>
      </c>
      <c r="N99" s="34">
        <v>899.99</v>
      </c>
    </row>
    <row r="100" spans="1:14">
      <c r="A100" s="34" t="str">
        <v>TRX0237</v>
      </c>
      <c r="B100" s="36">
        <v>45663</v>
      </c>
      <c r="C100" s="34" t="str">
        <v>CUST006</v>
      </c>
      <c r="D100" s="34" t="str">
        <v>Lisa Anderson</v>
      </c>
      <c r="E100" s="34" t="str">
        <v>P003</v>
      </c>
      <c r="F100" s="34" t="str">
        <v>Headphones</v>
      </c>
      <c r="G100" s="38" t="str">
        <v>Electronics</v>
      </c>
      <c r="H100" s="39">
        <v>5</v>
      </c>
      <c r="I100" s="34">
        <v>149.99</v>
      </c>
      <c r="J100" s="34" t="str">
        <v>PayPal</v>
      </c>
      <c r="K100" s="34" t="str">
        <v>East</v>
      </c>
      <c r="L100" s="34" t="str">
        <v>Premium</v>
      </c>
      <c r="M100" s="36">
        <v>44824</v>
      </c>
      <c r="N100" s="34">
        <v>749.95</v>
      </c>
    </row>
    <row r="101" spans="1:14">
      <c r="A101" s="34" t="str">
        <v>TRX0125</v>
      </c>
      <c r="B101" s="36">
        <v>45666</v>
      </c>
      <c r="C101" s="34" t="str">
        <v>CUST026</v>
      </c>
      <c r="D101" s="34" t="str">
        <v>Karen Hill</v>
      </c>
      <c r="E101" s="34" t="str">
        <v>P002</v>
      </c>
      <c r="F101" s="34" t="str">
        <v>Smartphone</v>
      </c>
      <c r="G101" s="38" t="str">
        <v>Electronics</v>
      </c>
      <c r="H101" s="39">
        <v>3</v>
      </c>
      <c r="I101" s="34">
        <v>699.99</v>
      </c>
      <c r="J101" s="34" t="str">
        <v>Credit Card</v>
      </c>
      <c r="K101" s="34" t="str">
        <v>Central</v>
      </c>
      <c r="L101" s="34" t="str">
        <v>Premium</v>
      </c>
      <c r="M101" s="36">
        <v>45105</v>
      </c>
      <c r="N101" s="34">
        <v>2099.9699999999998</v>
      </c>
    </row>
    <row r="102" spans="1:14">
      <c r="A102" s="34" t="str">
        <v>TRX0243</v>
      </c>
      <c r="B102" s="36">
        <v>45667</v>
      </c>
      <c r="C102" s="34" t="str">
        <v>CUST048</v>
      </c>
      <c r="D102" s="34" t="str">
        <v>Virginia Sanders</v>
      </c>
      <c r="E102" s="34" t="str">
        <v>P009</v>
      </c>
      <c r="F102" s="34" t="str">
        <v>Monitor</v>
      </c>
      <c r="G102" s="38" t="str">
        <v>Electronics</v>
      </c>
      <c r="H102" s="39">
        <v>5</v>
      </c>
      <c r="I102" s="34">
        <v>249.99</v>
      </c>
      <c r="J102" s="34" t="str">
        <v>Credit Card</v>
      </c>
      <c r="K102" s="34" t="str">
        <v>South</v>
      </c>
      <c r="L102" s="34" t="str">
        <v>Basic</v>
      </c>
      <c r="M102" s="36">
        <v>45330</v>
      </c>
      <c r="N102" s="34">
        <v>1249.95</v>
      </c>
    </row>
    <row r="103" spans="1:14">
      <c r="A103" s="34" t="str">
        <v>TRX0084</v>
      </c>
      <c r="B103" s="36">
        <v>45668</v>
      </c>
      <c r="C103" s="34" t="str">
        <v>CUST031</v>
      </c>
      <c r="D103" s="34" t="str">
        <v>Steven Turner</v>
      </c>
      <c r="E103" s="34" t="str">
        <v>P003</v>
      </c>
      <c r="F103" s="34" t="str">
        <v>Headphones</v>
      </c>
      <c r="G103" s="38" t="str">
        <v>Electronics</v>
      </c>
      <c r="H103" s="39">
        <v>4</v>
      </c>
      <c r="I103" s="34">
        <v>149.99</v>
      </c>
      <c r="J103" s="34" t="str">
        <v>Debit Card</v>
      </c>
      <c r="K103" s="34" t="str">
        <v>East</v>
      </c>
      <c r="L103" s="34" t="str">
        <v>Standard</v>
      </c>
      <c r="M103" s="36">
        <v>44536</v>
      </c>
      <c r="N103" s="34">
        <v>599.96</v>
      </c>
    </row>
    <row r="104" spans="1:14">
      <c r="A104" s="34" t="str">
        <v>TRX0238</v>
      </c>
      <c r="B104" s="36">
        <v>45668</v>
      </c>
      <c r="C104" s="34" t="str">
        <v>CUST038</v>
      </c>
      <c r="D104" s="34" t="str">
        <v>Michelle Rogers</v>
      </c>
      <c r="E104" s="34" t="str">
        <v>P002</v>
      </c>
      <c r="F104" s="34" t="str">
        <v>Smartphone</v>
      </c>
      <c r="G104" s="38" t="str">
        <v>Electronics</v>
      </c>
      <c r="H104" s="39">
        <v>3</v>
      </c>
      <c r="I104" s="34">
        <v>699.99</v>
      </c>
      <c r="J104" s="34" t="str">
        <v>Cash</v>
      </c>
      <c r="K104" s="34" t="str">
        <v>North</v>
      </c>
      <c r="L104" s="34" t="str">
        <v>Premium</v>
      </c>
      <c r="M104" s="36">
        <v>44602</v>
      </c>
      <c r="N104" s="34">
        <v>2099.9699999999998</v>
      </c>
    </row>
    <row r="105" spans="1:14">
      <c r="A105" s="34" t="str">
        <v>TRX0087</v>
      </c>
      <c r="B105" s="36">
        <v>45671</v>
      </c>
      <c r="C105" s="34" t="str">
        <v>CUST028</v>
      </c>
      <c r="D105" s="34" t="str">
        <v>Betty Campbell</v>
      </c>
      <c r="E105" s="34" t="str">
        <v>P009</v>
      </c>
      <c r="F105" s="34" t="str">
        <v>Monitor</v>
      </c>
      <c r="G105" s="38" t="str">
        <v>Electronics</v>
      </c>
      <c r="H105" s="39">
        <v>4</v>
      </c>
      <c r="I105" s="34">
        <v>249.99</v>
      </c>
      <c r="J105" s="34" t="str">
        <v>Credit Card</v>
      </c>
      <c r="K105" s="34" t="str">
        <v>North</v>
      </c>
      <c r="L105" s="34" t="str">
        <v>Premium</v>
      </c>
      <c r="M105" s="36">
        <v>44460</v>
      </c>
      <c r="N105" s="34">
        <v>999.96</v>
      </c>
    </row>
    <row r="106" spans="1:14">
      <c r="A106" s="34" t="str">
        <v>TRX0107</v>
      </c>
      <c r="B106" s="36">
        <v>45671</v>
      </c>
      <c r="C106" s="34" t="str">
        <v>CUST030</v>
      </c>
      <c r="D106" s="34" t="str">
        <v>Helen Roberts</v>
      </c>
      <c r="E106" s="34" t="str">
        <v>P003</v>
      </c>
      <c r="F106" s="34" t="str">
        <v>Headphones</v>
      </c>
      <c r="G106" s="38" t="str">
        <v>Electronics</v>
      </c>
      <c r="H106" s="39">
        <v>2</v>
      </c>
      <c r="I106" s="34">
        <v>149.99</v>
      </c>
      <c r="J106" s="34" t="str">
        <v>Cash</v>
      </c>
      <c r="K106" s="34" t="str">
        <v>North</v>
      </c>
      <c r="L106" s="34" t="str">
        <v>Standard</v>
      </c>
      <c r="M106" s="36">
        <v>44913</v>
      </c>
      <c r="N106" s="34">
        <v>299.98</v>
      </c>
    </row>
    <row r="107" spans="1:14">
      <c r="A107" s="34" t="str">
        <v>TRX0159</v>
      </c>
      <c r="B107" s="36">
        <v>45683</v>
      </c>
      <c r="C107" s="34" t="str">
        <v>CUST024</v>
      </c>
      <c r="D107" s="34" t="str">
        <v>Dorothy Nelson</v>
      </c>
      <c r="E107" s="34" t="str">
        <v>P009</v>
      </c>
      <c r="F107" s="34" t="str">
        <v>Monitor</v>
      </c>
      <c r="G107" s="38" t="str">
        <v>Electronics</v>
      </c>
      <c r="H107" s="39">
        <v>4</v>
      </c>
      <c r="I107" s="34">
        <v>249.99</v>
      </c>
      <c r="J107" s="34" t="str">
        <v>Debit Card</v>
      </c>
      <c r="K107" s="34" t="str">
        <v>Central</v>
      </c>
      <c r="L107" s="34" t="str">
        <v>Premium</v>
      </c>
      <c r="M107" s="36">
        <v>45217</v>
      </c>
      <c r="N107" s="34">
        <v>999.96</v>
      </c>
    </row>
    <row r="108" spans="1:14">
      <c r="A108" s="34" t="str">
        <v>TRX0030</v>
      </c>
      <c r="B108" s="36">
        <v>45686</v>
      </c>
      <c r="C108" s="34" t="str">
        <v>CUST011</v>
      </c>
      <c r="D108" s="34" t="str">
        <v>William White</v>
      </c>
      <c r="E108" s="34" t="str">
        <v>P001</v>
      </c>
      <c r="F108" s="34" t="str">
        <v>Laptop</v>
      </c>
      <c r="G108" s="38" t="str">
        <v>Electronics</v>
      </c>
      <c r="H108" s="39">
        <v>4</v>
      </c>
      <c r="I108" s="34">
        <v>899.99</v>
      </c>
      <c r="J108" s="34" t="str">
        <v>PayPal</v>
      </c>
      <c r="K108" s="34" t="str">
        <v>Central</v>
      </c>
      <c r="L108" s="34" t="str">
        <v>Basic</v>
      </c>
      <c r="M108" s="36">
        <v>44734</v>
      </c>
      <c r="N108" s="34">
        <v>3599.96</v>
      </c>
    </row>
    <row r="109" spans="1:14">
      <c r="A109" s="34" t="str">
        <v>TRX0188</v>
      </c>
      <c r="B109" s="36">
        <v>45686</v>
      </c>
      <c r="C109" s="34" t="str">
        <v>CUST045</v>
      </c>
      <c r="D109" s="34" t="str">
        <v>Douglas Watson</v>
      </c>
      <c r="E109" s="34" t="str">
        <v>P002</v>
      </c>
      <c r="F109" s="34" t="str">
        <v>Smartphone</v>
      </c>
      <c r="G109" s="38" t="str">
        <v>Electronics</v>
      </c>
      <c r="H109" s="39">
        <v>2</v>
      </c>
      <c r="I109" s="34">
        <v>699.99</v>
      </c>
      <c r="J109" s="34" t="str">
        <v>Debit Card</v>
      </c>
      <c r="K109" s="34" t="str">
        <v>Central</v>
      </c>
      <c r="L109" s="34" t="str">
        <v>Premium</v>
      </c>
      <c r="M109" s="36">
        <v>44681</v>
      </c>
      <c r="N109" s="34">
        <v>1399.98</v>
      </c>
    </row>
    <row r="110" spans="1:14">
      <c r="A110" s="34" t="str">
        <v>TRX0010</v>
      </c>
      <c r="B110" s="36">
        <v>45688</v>
      </c>
      <c r="C110" s="34" t="str">
        <v>CUST026</v>
      </c>
      <c r="D110" s="34" t="str">
        <v>Karen Hill</v>
      </c>
      <c r="E110" s="34" t="str">
        <v>P002</v>
      </c>
      <c r="F110" s="34" t="str">
        <v>Smartphone</v>
      </c>
      <c r="G110" s="38" t="str">
        <v>Electronics</v>
      </c>
      <c r="H110" s="39">
        <v>4</v>
      </c>
      <c r="I110" s="34">
        <v>699.99</v>
      </c>
      <c r="J110" s="34" t="str">
        <v>Debit Card</v>
      </c>
      <c r="K110" s="34" t="str">
        <v>West</v>
      </c>
      <c r="L110" s="34" t="str">
        <v>Premium</v>
      </c>
      <c r="M110" s="36">
        <v>44692</v>
      </c>
      <c r="N110" s="34">
        <v>2799.96</v>
      </c>
    </row>
    <row r="111" spans="1:14">
      <c r="A111" s="34" t="str">
        <v>TRX0069</v>
      </c>
      <c r="B111" s="36">
        <v>45688</v>
      </c>
      <c r="C111" s="34" t="str">
        <v>CUST029</v>
      </c>
      <c r="D111" s="34" t="str">
        <v>Edward Mitchell</v>
      </c>
      <c r="E111" s="34" t="str">
        <v>P010</v>
      </c>
      <c r="F111" s="34" t="str">
        <v>Keyboard</v>
      </c>
      <c r="G111" s="38" t="str">
        <v>Electronics</v>
      </c>
      <c r="H111" s="39">
        <v>2</v>
      </c>
      <c r="I111" s="34">
        <v>89.99</v>
      </c>
      <c r="J111" s="34" t="str">
        <v>Debit Card</v>
      </c>
      <c r="K111" s="34" t="str">
        <v>South</v>
      </c>
      <c r="L111" s="34" t="str">
        <v>Basic</v>
      </c>
      <c r="M111" s="36">
        <v>44777</v>
      </c>
      <c r="N111" s="34">
        <v>179.98</v>
      </c>
    </row>
    <row r="112" spans="1:14">
      <c r="A112" s="34" t="str">
        <v>TRX0166</v>
      </c>
      <c r="B112" s="36">
        <v>45688</v>
      </c>
      <c r="C112" s="34" t="str">
        <v>CUST003</v>
      </c>
      <c r="D112" s="34" t="str">
        <v>Michael Brown</v>
      </c>
      <c r="E112" s="34" t="str">
        <v>P010</v>
      </c>
      <c r="F112" s="34" t="str">
        <v>Keyboard</v>
      </c>
      <c r="G112" s="38" t="str">
        <v>Electronics</v>
      </c>
      <c r="H112" s="39">
        <v>3</v>
      </c>
      <c r="I112" s="34">
        <v>89.99</v>
      </c>
      <c r="J112" s="34" t="str">
        <v>Debit Card</v>
      </c>
      <c r="K112" s="34" t="str">
        <v>South</v>
      </c>
      <c r="L112" s="34" t="str">
        <v>Premium</v>
      </c>
      <c r="M112" s="36">
        <v>45307</v>
      </c>
      <c r="N112" s="34">
        <v>269.97000000000003</v>
      </c>
    </row>
    <row r="113" spans="1:14">
      <c r="A113" s="34" t="str">
        <v>TRX0196</v>
      </c>
      <c r="B113" s="36">
        <v>45704</v>
      </c>
      <c r="C113" s="34" t="str">
        <v>CUST023</v>
      </c>
      <c r="D113" s="34" t="str">
        <v>Paul Baker</v>
      </c>
      <c r="E113" s="34" t="str">
        <v>P010</v>
      </c>
      <c r="F113" s="34" t="str">
        <v>Keyboard</v>
      </c>
      <c r="G113" s="38" t="str">
        <v>Electronics</v>
      </c>
      <c r="H113" s="39">
        <v>2</v>
      </c>
      <c r="I113" s="34">
        <v>89.99</v>
      </c>
      <c r="J113" s="34" t="str">
        <v>PayPal</v>
      </c>
      <c r="K113" s="34" t="str">
        <v>Central</v>
      </c>
      <c r="L113" s="34" t="str">
        <v>Basic</v>
      </c>
      <c r="M113" s="36">
        <v>45257</v>
      </c>
      <c r="N113" s="34">
        <v>179.98</v>
      </c>
    </row>
    <row r="114" spans="1:14">
      <c r="A114" s="34" t="str">
        <v>TRX0179</v>
      </c>
      <c r="B114" s="36">
        <v>45707</v>
      </c>
      <c r="C114" s="34" t="str">
        <v>CUST029</v>
      </c>
      <c r="D114" s="34" t="str">
        <v>Edward Mitchell</v>
      </c>
      <c r="E114" s="34" t="str">
        <v>P002</v>
      </c>
      <c r="F114" s="34" t="str">
        <v>Smartphone</v>
      </c>
      <c r="G114" s="38" t="str">
        <v>Electronics</v>
      </c>
      <c r="H114" s="39">
        <v>5</v>
      </c>
      <c r="I114" s="34">
        <v>699.99</v>
      </c>
      <c r="J114" s="34" t="str">
        <v>PayPal</v>
      </c>
      <c r="K114" s="34" t="str">
        <v>South</v>
      </c>
      <c r="L114" s="34" t="str">
        <v>Premium</v>
      </c>
      <c r="M114" s="36">
        <v>45352</v>
      </c>
      <c r="N114" s="34">
        <v>3499.95</v>
      </c>
    </row>
    <row r="115" spans="1:14">
      <c r="A115" s="34" t="str">
        <v>TRX0214</v>
      </c>
      <c r="B115" s="36">
        <v>45708</v>
      </c>
      <c r="C115" s="34" t="str">
        <v>CUST018</v>
      </c>
      <c r="D115" s="34" t="str">
        <v>Barbara Young</v>
      </c>
      <c r="E115" s="34" t="str">
        <v>P001</v>
      </c>
      <c r="F115" s="34" t="str">
        <v>Laptop</v>
      </c>
      <c r="G115" s="38" t="str">
        <v>Electronics</v>
      </c>
      <c r="H115" s="39">
        <v>3</v>
      </c>
      <c r="I115" s="34">
        <v>899.99</v>
      </c>
      <c r="J115" s="34" t="str">
        <v>Cash</v>
      </c>
      <c r="K115" s="34" t="str">
        <v>East</v>
      </c>
      <c r="L115" s="34" t="str">
        <v>Standard</v>
      </c>
      <c r="M115" s="36">
        <v>44613</v>
      </c>
      <c r="N115" s="34">
        <v>2699.97</v>
      </c>
    </row>
    <row r="116" spans="1:14">
      <c r="A116" s="34" t="str">
        <v>TRX0151</v>
      </c>
      <c r="B116" s="36">
        <v>45710</v>
      </c>
      <c r="C116" s="34" t="str">
        <v>CUST040</v>
      </c>
      <c r="D116" s="34" t="str">
        <v>Sharon Butler</v>
      </c>
      <c r="E116" s="34" t="str">
        <v>P002</v>
      </c>
      <c r="F116" s="34" t="str">
        <v>Smartphone</v>
      </c>
      <c r="G116" s="38" t="str">
        <v>Electronics</v>
      </c>
      <c r="H116" s="39">
        <v>1</v>
      </c>
      <c r="I116" s="34">
        <v>699.99</v>
      </c>
      <c r="J116" s="34" t="str">
        <v>PayPal</v>
      </c>
      <c r="K116" s="34" t="str">
        <v>West</v>
      </c>
      <c r="L116" s="34" t="str">
        <v>Basic</v>
      </c>
      <c r="M116" s="36">
        <v>44934</v>
      </c>
      <c r="N116" s="34">
        <v>699.99</v>
      </c>
    </row>
    <row r="117" spans="1:14">
      <c r="A117" s="34" t="str">
        <v>TRX0047</v>
      </c>
      <c r="B117" s="36">
        <v>45711</v>
      </c>
      <c r="C117" s="34" t="str">
        <v>CUST042</v>
      </c>
      <c r="D117" s="34" t="str">
        <v>Ruth Brooks</v>
      </c>
      <c r="E117" s="34" t="str">
        <v>P002</v>
      </c>
      <c r="F117" s="34" t="str">
        <v>Smartphone</v>
      </c>
      <c r="G117" s="38" t="str">
        <v>Electronics</v>
      </c>
      <c r="H117" s="39">
        <v>1</v>
      </c>
      <c r="I117" s="34">
        <v>699.99</v>
      </c>
      <c r="J117" s="34" t="str">
        <v>Cash</v>
      </c>
      <c r="K117" s="34" t="str">
        <v>North</v>
      </c>
      <c r="L117" s="34" t="str">
        <v>Premium</v>
      </c>
      <c r="M117" s="36">
        <v>44583</v>
      </c>
      <c r="N117" s="34">
        <v>699.99</v>
      </c>
    </row>
    <row r="118" spans="1:14">
      <c r="A118" s="34" t="str">
        <v>TRX0062</v>
      </c>
      <c r="B118" s="36">
        <v>45711</v>
      </c>
      <c r="C118" s="34" t="str">
        <v>CUST016</v>
      </c>
      <c r="D118" s="34" t="str">
        <v>Elizabeth Hall</v>
      </c>
      <c r="E118" s="34" t="str">
        <v>P010</v>
      </c>
      <c r="F118" s="34" t="str">
        <v>Keyboard</v>
      </c>
      <c r="G118" s="38" t="str">
        <v>Electronics</v>
      </c>
      <c r="H118" s="39">
        <v>5</v>
      </c>
      <c r="I118" s="34">
        <v>89.99</v>
      </c>
      <c r="J118" s="34" t="str">
        <v>PayPal</v>
      </c>
      <c r="K118" s="34" t="str">
        <v>West</v>
      </c>
      <c r="L118" s="34" t="str">
        <v>Premium</v>
      </c>
      <c r="M118" s="36">
        <v>45140</v>
      </c>
      <c r="N118" s="34">
        <v>449.95</v>
      </c>
    </row>
    <row r="119" spans="1:14">
      <c r="A119" s="34" t="str">
        <v>TRX0226</v>
      </c>
      <c r="B119" s="36">
        <v>45720</v>
      </c>
      <c r="C119" s="34" t="str">
        <v>CUST039</v>
      </c>
      <c r="D119" s="34" t="str">
        <v>Lawrence Reed</v>
      </c>
      <c r="E119" s="34" t="str">
        <v>P002</v>
      </c>
      <c r="F119" s="34" t="str">
        <v>Smartphone</v>
      </c>
      <c r="G119" s="38" t="str">
        <v>Electronics</v>
      </c>
      <c r="H119" s="39">
        <v>5</v>
      </c>
      <c r="I119" s="34">
        <v>699.99</v>
      </c>
      <c r="J119" s="34" t="str">
        <v>Debit Card</v>
      </c>
      <c r="K119" s="34" t="str">
        <v>East</v>
      </c>
      <c r="L119" s="34" t="str">
        <v>Premium</v>
      </c>
      <c r="M119" s="36">
        <v>45161</v>
      </c>
      <c r="N119" s="34">
        <v>3499.95</v>
      </c>
    </row>
    <row r="120" spans="1:14">
      <c r="A120" s="34" t="str">
        <v>TRX0233</v>
      </c>
      <c r="B120" s="36">
        <v>45723</v>
      </c>
      <c r="C120" s="34" t="str">
        <v>CUST023</v>
      </c>
      <c r="D120" s="34" t="str">
        <v>Paul Baker</v>
      </c>
      <c r="E120" s="34" t="str">
        <v>P010</v>
      </c>
      <c r="F120" s="34" t="str">
        <v>Keyboard</v>
      </c>
      <c r="G120" s="38" t="str">
        <v>Electronics</v>
      </c>
      <c r="H120" s="39">
        <v>2</v>
      </c>
      <c r="I120" s="34">
        <v>89.99</v>
      </c>
      <c r="J120" s="34" t="str">
        <v>Credit Card</v>
      </c>
      <c r="K120" s="34" t="str">
        <v>West</v>
      </c>
      <c r="L120" s="34" t="str">
        <v>Premium</v>
      </c>
      <c r="M120" s="36">
        <v>45295</v>
      </c>
      <c r="N120" s="34">
        <v>179.98</v>
      </c>
    </row>
    <row r="121" spans="1:14">
      <c r="A121" s="34" t="str">
        <v>TRX0175</v>
      </c>
      <c r="B121" s="36">
        <v>45723</v>
      </c>
      <c r="C121" s="34" t="str">
        <v>CUST030</v>
      </c>
      <c r="D121" s="34" t="str">
        <v>Helen Roberts</v>
      </c>
      <c r="E121" s="34" t="str">
        <v>P009</v>
      </c>
      <c r="F121" s="34" t="str">
        <v>Monitor</v>
      </c>
      <c r="G121" s="38" t="str">
        <v>Electronics</v>
      </c>
      <c r="H121" s="39">
        <v>5</v>
      </c>
      <c r="I121" s="34">
        <v>249.99</v>
      </c>
      <c r="J121" s="34" t="str">
        <v>Cash</v>
      </c>
      <c r="K121" s="34" t="str">
        <v>East</v>
      </c>
      <c r="L121" s="34" t="str">
        <v>Standard</v>
      </c>
      <c r="M121" s="36">
        <v>44540</v>
      </c>
      <c r="N121" s="34">
        <v>1249.95</v>
      </c>
    </row>
    <row r="122" spans="1:14">
      <c r="A122" s="34" t="str">
        <v>TRX0016</v>
      </c>
      <c r="B122" s="36">
        <v>45724</v>
      </c>
      <c r="C122" s="34" t="str">
        <v>CUST035</v>
      </c>
      <c r="D122" s="34" t="str">
        <v>Harry Morgan</v>
      </c>
      <c r="E122" s="34" t="str">
        <v>P001</v>
      </c>
      <c r="F122" s="34" t="str">
        <v>Laptop</v>
      </c>
      <c r="G122" s="38" t="str">
        <v>Electronics</v>
      </c>
      <c r="H122" s="39">
        <v>5</v>
      </c>
      <c r="I122" s="34">
        <v>899.99</v>
      </c>
      <c r="J122" s="34" t="str">
        <v>PayPal</v>
      </c>
      <c r="K122" s="34" t="str">
        <v>East</v>
      </c>
      <c r="L122" s="34" t="str">
        <v>Premium</v>
      </c>
      <c r="M122" s="36">
        <v>45389</v>
      </c>
      <c r="N122" s="34">
        <v>4499.95</v>
      </c>
    </row>
    <row r="123" spans="1:14">
      <c r="A123" s="34" t="str">
        <v>TRX0038</v>
      </c>
      <c r="B123" s="36">
        <v>45726</v>
      </c>
      <c r="C123" s="34" t="str">
        <v>CUST035</v>
      </c>
      <c r="D123" s="34" t="str">
        <v>Harry Morgan</v>
      </c>
      <c r="E123" s="34" t="str">
        <v>P009</v>
      </c>
      <c r="F123" s="34" t="str">
        <v>Monitor</v>
      </c>
      <c r="G123" s="38" t="str">
        <v>Electronics</v>
      </c>
      <c r="H123" s="39">
        <v>1</v>
      </c>
      <c r="I123" s="34">
        <v>249.99</v>
      </c>
      <c r="J123" s="34" t="str">
        <v>Cash</v>
      </c>
      <c r="K123" s="34" t="str">
        <v>North</v>
      </c>
      <c r="L123" s="34" t="str">
        <v>Standard</v>
      </c>
      <c r="M123" s="36">
        <v>45117</v>
      </c>
      <c r="N123" s="34">
        <v>249.99</v>
      </c>
    </row>
    <row r="124" spans="1:14">
      <c r="A124" s="34" t="str">
        <v>TRX0124</v>
      </c>
      <c r="B124" s="36">
        <v>45737</v>
      </c>
      <c r="C124" s="34" t="str">
        <v>CUST040</v>
      </c>
      <c r="D124" s="34" t="str">
        <v>Sharon Butler</v>
      </c>
      <c r="E124" s="34" t="str">
        <v>P001</v>
      </c>
      <c r="F124" s="34" t="str">
        <v>Laptop</v>
      </c>
      <c r="G124" s="38" t="str">
        <v>Electronics</v>
      </c>
      <c r="H124" s="39">
        <v>3</v>
      </c>
      <c r="I124" s="34">
        <v>899.99</v>
      </c>
      <c r="J124" s="34" t="str">
        <v>Debit Card</v>
      </c>
      <c r="K124" s="34" t="str">
        <v>North</v>
      </c>
      <c r="L124" s="34" t="str">
        <v>Premium</v>
      </c>
      <c r="M124" s="36">
        <v>44876</v>
      </c>
      <c r="N124" s="34">
        <v>2699.97</v>
      </c>
    </row>
    <row r="125" spans="1:14">
      <c r="A125" s="34" t="str">
        <v>TRX0013</v>
      </c>
      <c r="B125" s="36">
        <v>45737</v>
      </c>
      <c r="C125" s="34" t="str">
        <v>CUST024</v>
      </c>
      <c r="D125" s="34" t="str">
        <v>Dorothy Nelson</v>
      </c>
      <c r="E125" s="34" t="str">
        <v>P001</v>
      </c>
      <c r="F125" s="34" t="str">
        <v>Laptop</v>
      </c>
      <c r="G125" s="38" t="str">
        <v>Electronics</v>
      </c>
      <c r="H125" s="39">
        <v>3</v>
      </c>
      <c r="I125" s="34">
        <v>899.99</v>
      </c>
      <c r="J125" s="34" t="str">
        <v>PayPal</v>
      </c>
      <c r="K125" s="34" t="str">
        <v>North</v>
      </c>
      <c r="L125" s="34" t="str">
        <v>Basic</v>
      </c>
      <c r="M125" s="36">
        <v>44975</v>
      </c>
      <c r="N125" s="34">
        <v>2699.97</v>
      </c>
    </row>
    <row r="126" spans="1:14">
      <c r="A126" s="34" t="str">
        <v>TRX0213</v>
      </c>
      <c r="B126" s="36">
        <v>45745</v>
      </c>
      <c r="C126" s="34" t="str">
        <v>CUST020</v>
      </c>
      <c r="D126" s="34" t="str">
        <v>Margaret Wright</v>
      </c>
      <c r="E126" s="34" t="str">
        <v>P010</v>
      </c>
      <c r="F126" s="34" t="str">
        <v>Keyboard</v>
      </c>
      <c r="G126" s="38" t="str">
        <v>Electronics</v>
      </c>
      <c r="H126" s="39">
        <v>5</v>
      </c>
      <c r="I126" s="34">
        <v>89.99</v>
      </c>
      <c r="J126" s="34" t="str">
        <v>PayPal</v>
      </c>
      <c r="K126" s="34" t="str">
        <v>South</v>
      </c>
      <c r="L126" s="34" t="str">
        <v>Basic</v>
      </c>
      <c r="M126" s="36">
        <v>44704</v>
      </c>
      <c r="N126" s="34">
        <v>449.95</v>
      </c>
    </row>
    <row r="127" spans="1:14">
      <c r="A127" s="34" t="str">
        <v>TRX0250</v>
      </c>
      <c r="B127" s="36">
        <v>45746</v>
      </c>
      <c r="C127" s="34" t="str">
        <v>CUST026</v>
      </c>
      <c r="D127" s="34" t="str">
        <v>Karen Hill</v>
      </c>
      <c r="E127" s="34" t="str">
        <v>P010</v>
      </c>
      <c r="F127" s="34" t="str">
        <v>Keyboard</v>
      </c>
      <c r="G127" s="38" t="str">
        <v>Electronics</v>
      </c>
      <c r="H127" s="39">
        <v>2</v>
      </c>
      <c r="I127" s="34">
        <v>89.99</v>
      </c>
      <c r="J127" s="34" t="str">
        <v>Debit Card</v>
      </c>
      <c r="K127" s="34" t="str">
        <v>West</v>
      </c>
      <c r="L127" s="34" t="str">
        <v>Premium</v>
      </c>
      <c r="M127" s="36">
        <v>44522</v>
      </c>
      <c r="N127" s="34">
        <v>179.98</v>
      </c>
    </row>
    <row r="128" spans="1:14">
      <c r="A128" s="34" t="str">
        <v>TRX0068</v>
      </c>
      <c r="B128" s="36">
        <v>45748</v>
      </c>
      <c r="C128" s="34" t="str">
        <v>CUST044</v>
      </c>
      <c r="D128" s="34" t="str">
        <v>Cynthia Price</v>
      </c>
      <c r="E128" s="34" t="str">
        <v>P002</v>
      </c>
      <c r="F128" s="34" t="str">
        <v>Smartphone</v>
      </c>
      <c r="G128" s="38" t="str">
        <v>Electronics</v>
      </c>
      <c r="H128" s="39">
        <v>2</v>
      </c>
      <c r="I128" s="34">
        <v>699.99</v>
      </c>
      <c r="J128" s="34" t="str">
        <v>PayPal</v>
      </c>
      <c r="K128" s="34" t="str">
        <v>North</v>
      </c>
      <c r="L128" s="34" t="str">
        <v>Standard</v>
      </c>
      <c r="M128" s="36">
        <v>44618</v>
      </c>
      <c r="N128" s="34">
        <v>1399.98</v>
      </c>
    </row>
    <row r="129" spans="1:14">
      <c r="A129" s="34" t="str">
        <v>TRX0144</v>
      </c>
      <c r="B129" s="36">
        <v>45749</v>
      </c>
      <c r="C129" s="34" t="str">
        <v>CUST029</v>
      </c>
      <c r="D129" s="34" t="str">
        <v>Edward Mitchell</v>
      </c>
      <c r="E129" s="34" t="str">
        <v>P001</v>
      </c>
      <c r="F129" s="34" t="str">
        <v>Laptop</v>
      </c>
      <c r="G129" s="38" t="str">
        <v>Electronics</v>
      </c>
      <c r="H129" s="39">
        <v>3</v>
      </c>
      <c r="I129" s="34">
        <v>899.99</v>
      </c>
      <c r="J129" s="34" t="str">
        <v>Cash</v>
      </c>
      <c r="K129" s="34" t="str">
        <v>Central</v>
      </c>
      <c r="L129" s="34" t="str">
        <v>Standard</v>
      </c>
      <c r="M129" s="36">
        <v>44953</v>
      </c>
      <c r="N129" s="34">
        <v>2699.97</v>
      </c>
    </row>
    <row r="130" spans="1:14">
      <c r="A130" s="34" t="str">
        <v>TRX0116</v>
      </c>
      <c r="B130" s="36">
        <v>45756</v>
      </c>
      <c r="C130" s="34" t="str">
        <v>CUST009</v>
      </c>
      <c r="D130" s="34" t="str">
        <v>Robert Thomas</v>
      </c>
      <c r="E130" s="34" t="str">
        <v>P010</v>
      </c>
      <c r="F130" s="34" t="str">
        <v>Keyboard</v>
      </c>
      <c r="G130" s="38" t="str">
        <v>Electronics</v>
      </c>
      <c r="H130" s="39">
        <v>1</v>
      </c>
      <c r="I130" s="34">
        <v>89.99</v>
      </c>
      <c r="J130" s="34" t="str">
        <v>Debit Card</v>
      </c>
      <c r="K130" s="34" t="str">
        <v>East</v>
      </c>
      <c r="L130" s="34" t="str">
        <v>Basic</v>
      </c>
      <c r="M130" s="36">
        <v>45346</v>
      </c>
      <c r="N130" s="34">
        <v>89.99</v>
      </c>
    </row>
    <row r="131" spans="1:14">
      <c r="A131" s="34" t="str">
        <v>TRX0120</v>
      </c>
      <c r="B131" s="36">
        <v>45758</v>
      </c>
      <c r="C131" s="34" t="str">
        <v>CUST045</v>
      </c>
      <c r="D131" s="34" t="str">
        <v>Douglas Watson</v>
      </c>
      <c r="E131" s="34" t="str">
        <v>P002</v>
      </c>
      <c r="F131" s="34" t="str">
        <v>Smartphone</v>
      </c>
      <c r="G131" s="38" t="str">
        <v>Electronics</v>
      </c>
      <c r="H131" s="39">
        <v>3</v>
      </c>
      <c r="I131" s="34">
        <v>699.99</v>
      </c>
      <c r="J131" s="34" t="str">
        <v>PayPal</v>
      </c>
      <c r="K131" s="34" t="str">
        <v>North</v>
      </c>
      <c r="L131" s="34" t="str">
        <v>Basic</v>
      </c>
      <c r="M131" s="36">
        <v>44909</v>
      </c>
      <c r="N131" s="34">
        <v>2099.9699999999998</v>
      </c>
    </row>
    <row r="132" spans="1:14">
      <c r="A132" s="34" t="str">
        <v>TRX0103</v>
      </c>
      <c r="B132" s="36">
        <v>45758</v>
      </c>
      <c r="C132" s="34" t="str">
        <v>CUST039</v>
      </c>
      <c r="D132" s="34" t="str">
        <v>Lawrence Reed</v>
      </c>
      <c r="E132" s="34" t="str">
        <v>P010</v>
      </c>
      <c r="F132" s="34" t="str">
        <v>Keyboard</v>
      </c>
      <c r="G132" s="38" t="str">
        <v>Electronics</v>
      </c>
      <c r="H132" s="39">
        <v>2</v>
      </c>
      <c r="I132" s="34">
        <v>89.99</v>
      </c>
      <c r="J132" s="34" t="str">
        <v>Debit Card</v>
      </c>
      <c r="K132" s="34" t="str">
        <v>East</v>
      </c>
      <c r="L132" s="34" t="str">
        <v>Basic</v>
      </c>
      <c r="M132" s="36">
        <v>45088</v>
      </c>
      <c r="N132" s="34">
        <v>179.98</v>
      </c>
    </row>
    <row r="133" spans="1:14">
      <c r="A133" s="34" t="str">
        <v>TRX0064</v>
      </c>
      <c r="B133" s="36">
        <v>45758</v>
      </c>
      <c r="C133" s="34" t="str">
        <v>CUST031</v>
      </c>
      <c r="D133" s="34" t="str">
        <v>Steven Turner</v>
      </c>
      <c r="E133" s="34" t="str">
        <v>P010</v>
      </c>
      <c r="F133" s="34" t="str">
        <v>Keyboard</v>
      </c>
      <c r="G133" s="38" t="str">
        <v>Electronics</v>
      </c>
      <c r="H133" s="39">
        <v>3</v>
      </c>
      <c r="I133" s="34">
        <v>89.99</v>
      </c>
      <c r="J133" s="34" t="str">
        <v>Debit Card</v>
      </c>
      <c r="K133" s="34" t="str">
        <v>North</v>
      </c>
      <c r="L133" s="34" t="str">
        <v>Premium</v>
      </c>
      <c r="M133" s="36">
        <v>44878</v>
      </c>
      <c r="N133" s="34">
        <v>269.97000000000003</v>
      </c>
    </row>
    <row r="134" spans="1:14">
      <c r="B134"/>
      <c r="G134"/>
      <c r="H134"/>
      <c r="M134"/>
    </row>
    <row r="136" spans="1:14" ht="21">
      <c r="A136" s="4"/>
      <c r="D136" s="126" t="s">
        <v>451</v>
      </c>
      <c r="E136" s="126"/>
      <c r="F136" s="126"/>
    </row>
    <row r="137" spans="1:14">
      <c r="A137" s="34" t="str" cm="1">
        <f t="array" ref="A137:N231">_xlfn._xlws.FILTER('Final Project Dataset'!A2:N251,'Final Project Dataset'!L2:L251="Premium")</f>
        <v>TRX0023</v>
      </c>
      <c r="B137" s="36">
        <v>45396</v>
      </c>
      <c r="C137" s="34" t="str">
        <v>CUST013</v>
      </c>
      <c r="D137" s="34" t="str">
        <v>Joseph Jackson</v>
      </c>
      <c r="E137" s="34" t="str">
        <v>P009</v>
      </c>
      <c r="F137" s="34" t="str">
        <v>Monitor</v>
      </c>
      <c r="G137" s="38" t="str">
        <v>Electronics</v>
      </c>
      <c r="H137" s="39">
        <v>3</v>
      </c>
      <c r="I137" s="34">
        <v>249.99</v>
      </c>
      <c r="J137" s="34" t="str">
        <v>Credit Card</v>
      </c>
      <c r="K137" s="34" t="str">
        <v>Central</v>
      </c>
      <c r="L137" s="34" t="str">
        <v>Premium</v>
      </c>
      <c r="M137" s="36">
        <v>44575</v>
      </c>
      <c r="N137" s="34">
        <v>749.97</v>
      </c>
    </row>
    <row r="138" spans="1:14">
      <c r="A138" s="34" t="str">
        <v>TRX0043</v>
      </c>
      <c r="B138" s="36">
        <v>45400</v>
      </c>
      <c r="C138" s="34" t="str">
        <v>CUST046</v>
      </c>
      <c r="D138" s="34" t="str">
        <v>Kathleen Bennett</v>
      </c>
      <c r="E138" s="34" t="str">
        <v>P005</v>
      </c>
      <c r="F138" s="34" t="str">
        <v>Blender</v>
      </c>
      <c r="G138" s="38" t="str">
        <v>Appliances</v>
      </c>
      <c r="H138" s="39">
        <v>3</v>
      </c>
      <c r="I138" s="34">
        <v>59.99</v>
      </c>
      <c r="J138" s="34" t="str">
        <v>Cash</v>
      </c>
      <c r="K138" s="34" t="str">
        <v>North</v>
      </c>
      <c r="L138" s="34" t="str">
        <v>Premium</v>
      </c>
      <c r="M138" s="36">
        <v>45114</v>
      </c>
      <c r="N138" s="34">
        <v>179.97</v>
      </c>
    </row>
    <row r="139" spans="1:14">
      <c r="A139" s="34" t="str">
        <v>TRX0212</v>
      </c>
      <c r="B139" s="36">
        <v>45400</v>
      </c>
      <c r="C139" s="34" t="str">
        <v>CUST003</v>
      </c>
      <c r="D139" s="34" t="str">
        <v>Michael Brown</v>
      </c>
      <c r="E139" s="34" t="str">
        <v>P008</v>
      </c>
      <c r="F139" s="34" t="str">
        <v>Bookshelf</v>
      </c>
      <c r="G139" s="38" t="str">
        <v>Furniture</v>
      </c>
      <c r="H139" s="39">
        <v>5</v>
      </c>
      <c r="I139" s="34">
        <v>149.99</v>
      </c>
      <c r="J139" s="34" t="str">
        <v>Credit Card</v>
      </c>
      <c r="K139" s="34" t="str">
        <v>North</v>
      </c>
      <c r="L139" s="34" t="str">
        <v>Premium</v>
      </c>
      <c r="M139" s="36">
        <v>45295</v>
      </c>
      <c r="N139" s="34">
        <v>749.95</v>
      </c>
    </row>
    <row r="140" spans="1:14">
      <c r="A140" s="34" t="str">
        <v>TRX0185</v>
      </c>
      <c r="B140" s="36">
        <v>45408</v>
      </c>
      <c r="C140" s="34" t="str">
        <v>CUST026</v>
      </c>
      <c r="D140" s="34" t="str">
        <v>Karen Hill</v>
      </c>
      <c r="E140" s="34" t="str">
        <v>P005</v>
      </c>
      <c r="F140" s="34" t="str">
        <v>Blender</v>
      </c>
      <c r="G140" s="38" t="str">
        <v>Appliances</v>
      </c>
      <c r="H140" s="39">
        <v>3</v>
      </c>
      <c r="I140" s="34">
        <v>59.99</v>
      </c>
      <c r="J140" s="34" t="str">
        <v>Cash</v>
      </c>
      <c r="K140" s="34" t="str">
        <v>West</v>
      </c>
      <c r="L140" s="34" t="str">
        <v>Premium</v>
      </c>
      <c r="M140" s="36">
        <v>45207</v>
      </c>
      <c r="N140" s="34">
        <v>179.97</v>
      </c>
    </row>
    <row r="141" spans="1:14">
      <c r="A141" s="34" t="str">
        <v>TRX0246</v>
      </c>
      <c r="B141" s="36">
        <v>45408</v>
      </c>
      <c r="C141" s="34" t="str">
        <v>CUST041</v>
      </c>
      <c r="D141" s="34" t="str">
        <v>Peter Richardson</v>
      </c>
      <c r="E141" s="34" t="str">
        <v>P008</v>
      </c>
      <c r="F141" s="34" t="str">
        <v>Bookshelf</v>
      </c>
      <c r="G141" s="38" t="str">
        <v>Furniture</v>
      </c>
      <c r="H141" s="39">
        <v>3</v>
      </c>
      <c r="I141" s="34">
        <v>149.99</v>
      </c>
      <c r="J141" s="34" t="str">
        <v>Cash</v>
      </c>
      <c r="K141" s="34" t="str">
        <v>North</v>
      </c>
      <c r="L141" s="34" t="str">
        <v>Premium</v>
      </c>
      <c r="M141" s="36">
        <v>44806</v>
      </c>
      <c r="N141" s="34">
        <v>449.97</v>
      </c>
    </row>
    <row r="142" spans="1:14">
      <c r="A142" s="34" t="str">
        <v>TRX0049</v>
      </c>
      <c r="B142" s="36">
        <v>45410</v>
      </c>
      <c r="C142" s="34" t="str">
        <v>CUST025</v>
      </c>
      <c r="D142" s="34" t="str">
        <v>Mark Carter</v>
      </c>
      <c r="E142" s="34" t="str">
        <v>P008</v>
      </c>
      <c r="F142" s="34" t="str">
        <v>Bookshelf</v>
      </c>
      <c r="G142" s="38" t="str">
        <v>Furniture</v>
      </c>
      <c r="H142" s="39">
        <v>4</v>
      </c>
      <c r="I142" s="34">
        <v>149.99</v>
      </c>
      <c r="J142" s="34" t="str">
        <v>Debit Card</v>
      </c>
      <c r="K142" s="34" t="str">
        <v>North</v>
      </c>
      <c r="L142" s="34" t="str">
        <v>Premium</v>
      </c>
      <c r="M142" s="36">
        <v>45374</v>
      </c>
      <c r="N142" s="34">
        <v>599.96</v>
      </c>
    </row>
    <row r="143" spans="1:14">
      <c r="A143" s="34" t="str">
        <v>TRX0222</v>
      </c>
      <c r="B143" s="36">
        <v>45410</v>
      </c>
      <c r="C143" s="34" t="str">
        <v>CUST048</v>
      </c>
      <c r="D143" s="34" t="str">
        <v>Virginia Sanders</v>
      </c>
      <c r="E143" s="34" t="str">
        <v>P009</v>
      </c>
      <c r="F143" s="34" t="str">
        <v>Monitor</v>
      </c>
      <c r="G143" s="38" t="str">
        <v>Electronics</v>
      </c>
      <c r="H143" s="39">
        <v>3</v>
      </c>
      <c r="I143" s="34">
        <v>249.99</v>
      </c>
      <c r="J143" s="34" t="str">
        <v>Credit Card</v>
      </c>
      <c r="K143" s="34" t="str">
        <v>North</v>
      </c>
      <c r="L143" s="34" t="str">
        <v>Premium</v>
      </c>
      <c r="M143" s="36">
        <v>45224</v>
      </c>
      <c r="N143" s="34">
        <v>749.97</v>
      </c>
    </row>
    <row r="144" spans="1:14">
      <c r="A144" s="34" t="str">
        <v>TRX0242</v>
      </c>
      <c r="B144" s="36">
        <v>45416</v>
      </c>
      <c r="C144" s="34" t="str">
        <v>CUST025</v>
      </c>
      <c r="D144" s="34" t="str">
        <v>Mark Carter</v>
      </c>
      <c r="E144" s="34" t="str">
        <v>P007</v>
      </c>
      <c r="F144" s="34" t="str">
        <v>Desk</v>
      </c>
      <c r="G144" s="38" t="str">
        <v>Furniture</v>
      </c>
      <c r="H144" s="39">
        <v>4</v>
      </c>
      <c r="I144" s="34">
        <v>299.99</v>
      </c>
      <c r="J144" s="34" t="str">
        <v>Cash</v>
      </c>
      <c r="K144" s="34" t="str">
        <v>West</v>
      </c>
      <c r="L144" s="34" t="str">
        <v>Premium</v>
      </c>
      <c r="M144" s="36">
        <v>44716</v>
      </c>
      <c r="N144" s="34">
        <v>1199.96</v>
      </c>
    </row>
    <row r="145" spans="1:14">
      <c r="A145" s="34" t="str">
        <v>TRX0235</v>
      </c>
      <c r="B145" s="36">
        <v>45424</v>
      </c>
      <c r="C145" s="34" t="str">
        <v>CUST014</v>
      </c>
      <c r="D145" s="34" t="str">
        <v>Linda Martin</v>
      </c>
      <c r="E145" s="34" t="str">
        <v>P004</v>
      </c>
      <c r="F145" s="34" t="str">
        <v>Coffee Maker</v>
      </c>
      <c r="G145" s="38" t="str">
        <v>Appliances</v>
      </c>
      <c r="H145" s="39">
        <v>3</v>
      </c>
      <c r="I145" s="34">
        <v>79.989999999999995</v>
      </c>
      <c r="J145" s="34" t="str">
        <v>PayPal</v>
      </c>
      <c r="K145" s="34" t="str">
        <v>East</v>
      </c>
      <c r="L145" s="34" t="str">
        <v>Premium</v>
      </c>
      <c r="M145" s="36">
        <v>45012</v>
      </c>
      <c r="N145" s="34">
        <v>239.97</v>
      </c>
    </row>
    <row r="146" spans="1:14">
      <c r="A146" s="34" t="str">
        <v>TRX0004</v>
      </c>
      <c r="B146" s="36">
        <v>45424</v>
      </c>
      <c r="C146" s="34" t="str">
        <v>CUST012</v>
      </c>
      <c r="D146" s="34" t="str">
        <v>Patricia Moore</v>
      </c>
      <c r="E146" s="34" t="str">
        <v>P010</v>
      </c>
      <c r="F146" s="34" t="str">
        <v>Keyboard</v>
      </c>
      <c r="G146" s="38" t="str">
        <v>Electronics</v>
      </c>
      <c r="H146" s="39">
        <v>5</v>
      </c>
      <c r="I146" s="34">
        <v>89.99</v>
      </c>
      <c r="J146" s="34" t="str">
        <v>Cash</v>
      </c>
      <c r="K146" s="34" t="str">
        <v>North</v>
      </c>
      <c r="L146" s="34" t="str">
        <v>Premium</v>
      </c>
      <c r="M146" s="36">
        <v>44919</v>
      </c>
      <c r="N146" s="34">
        <v>449.95</v>
      </c>
    </row>
    <row r="147" spans="1:14">
      <c r="A147" s="34" t="str">
        <v>TRX0130</v>
      </c>
      <c r="B147" s="36">
        <v>45430</v>
      </c>
      <c r="C147" s="34" t="str">
        <v>CUST002</v>
      </c>
      <c r="D147" s="34" t="str">
        <v>Emma Wilson</v>
      </c>
      <c r="E147" s="34" t="str">
        <v>P008</v>
      </c>
      <c r="F147" s="34" t="str">
        <v>Bookshelf</v>
      </c>
      <c r="G147" s="38" t="str">
        <v>Furniture</v>
      </c>
      <c r="H147" s="39">
        <v>3</v>
      </c>
      <c r="I147" s="34">
        <v>149.99</v>
      </c>
      <c r="J147" s="34" t="str">
        <v>Credit Card</v>
      </c>
      <c r="K147" s="34" t="str">
        <v>West</v>
      </c>
      <c r="L147" s="34" t="str">
        <v>Premium</v>
      </c>
      <c r="M147" s="36">
        <v>45068</v>
      </c>
      <c r="N147" s="34">
        <v>449.97</v>
      </c>
    </row>
    <row r="148" spans="1:14">
      <c r="A148" s="34" t="str">
        <v>TRX0041</v>
      </c>
      <c r="B148" s="36">
        <v>45432</v>
      </c>
      <c r="C148" s="34" t="str">
        <v>CUST021</v>
      </c>
      <c r="D148" s="34" t="str">
        <v>Kevin Scott</v>
      </c>
      <c r="E148" s="34" t="str">
        <v>P001</v>
      </c>
      <c r="F148" s="34" t="str">
        <v>Laptop</v>
      </c>
      <c r="G148" s="38" t="str">
        <v>Electronics</v>
      </c>
      <c r="H148" s="39">
        <v>1</v>
      </c>
      <c r="I148" s="34">
        <v>899.99</v>
      </c>
      <c r="J148" s="34" t="str">
        <v>Credit Card</v>
      </c>
      <c r="K148" s="34" t="str">
        <v>West</v>
      </c>
      <c r="L148" s="34" t="str">
        <v>Premium</v>
      </c>
      <c r="M148" s="36">
        <v>44578</v>
      </c>
      <c r="N148" s="34">
        <v>899.99</v>
      </c>
    </row>
    <row r="149" spans="1:14">
      <c r="A149" s="34" t="str">
        <v>TRX0245</v>
      </c>
      <c r="B149" s="36">
        <v>45438</v>
      </c>
      <c r="C149" s="34" t="str">
        <v>CUST031</v>
      </c>
      <c r="D149" s="34" t="str">
        <v>Steven Turner</v>
      </c>
      <c r="E149" s="34" t="str">
        <v>P006</v>
      </c>
      <c r="F149" s="34" t="str">
        <v>Office Chair</v>
      </c>
      <c r="G149" s="38" t="str">
        <v>Furniture</v>
      </c>
      <c r="H149" s="39">
        <v>3</v>
      </c>
      <c r="I149" s="34">
        <v>199.99</v>
      </c>
      <c r="J149" s="34" t="str">
        <v>Credit Card</v>
      </c>
      <c r="K149" s="34" t="str">
        <v>North</v>
      </c>
      <c r="L149" s="34" t="str">
        <v>Premium</v>
      </c>
      <c r="M149" s="36">
        <v>45292</v>
      </c>
      <c r="N149" s="34">
        <v>599.97</v>
      </c>
    </row>
    <row r="150" spans="1:14">
      <c r="A150" s="34" t="str">
        <v>TRX0202</v>
      </c>
      <c r="B150" s="36">
        <v>45441</v>
      </c>
      <c r="C150" s="34" t="str">
        <v>CUST035</v>
      </c>
      <c r="D150" s="34" t="str">
        <v>Harry Morgan</v>
      </c>
      <c r="E150" s="34" t="str">
        <v>P010</v>
      </c>
      <c r="F150" s="34" t="str">
        <v>Keyboard</v>
      </c>
      <c r="G150" s="38" t="str">
        <v>Electronics</v>
      </c>
      <c r="H150" s="39">
        <v>3</v>
      </c>
      <c r="I150" s="34">
        <v>89.99</v>
      </c>
      <c r="J150" s="34" t="str">
        <v>PayPal</v>
      </c>
      <c r="K150" s="34" t="str">
        <v>Central</v>
      </c>
      <c r="L150" s="34" t="str">
        <v>Premium</v>
      </c>
      <c r="M150" s="36">
        <v>45120</v>
      </c>
      <c r="N150" s="34">
        <v>269.97000000000003</v>
      </c>
    </row>
    <row r="151" spans="1:14">
      <c r="A151" s="34" t="str">
        <v>TRX0220</v>
      </c>
      <c r="B151" s="36">
        <v>45450</v>
      </c>
      <c r="C151" s="34" t="str">
        <v>CUST003</v>
      </c>
      <c r="D151" s="34" t="str">
        <v>Michael Brown</v>
      </c>
      <c r="E151" s="34" t="str">
        <v>P008</v>
      </c>
      <c r="F151" s="34" t="str">
        <v>Bookshelf</v>
      </c>
      <c r="G151" s="38" t="str">
        <v>Furniture</v>
      </c>
      <c r="H151" s="39">
        <v>2</v>
      </c>
      <c r="I151" s="34">
        <v>149.99</v>
      </c>
      <c r="J151" s="34" t="str">
        <v>Cash</v>
      </c>
      <c r="K151" s="34" t="str">
        <v>East</v>
      </c>
      <c r="L151" s="34" t="str">
        <v>Premium</v>
      </c>
      <c r="M151" s="36">
        <v>44645</v>
      </c>
      <c r="N151" s="34">
        <v>299.98</v>
      </c>
    </row>
    <row r="152" spans="1:14">
      <c r="A152" s="34" t="str">
        <v>TRX0088</v>
      </c>
      <c r="B152" s="36">
        <v>45456</v>
      </c>
      <c r="C152" s="34" t="str">
        <v>CUST006</v>
      </c>
      <c r="D152" s="34" t="str">
        <v>Lisa Anderson</v>
      </c>
      <c r="E152" s="34" t="str">
        <v>P010</v>
      </c>
      <c r="F152" s="34" t="str">
        <v>Keyboard</v>
      </c>
      <c r="G152" s="38" t="str">
        <v>Electronics</v>
      </c>
      <c r="H152" s="39">
        <v>5</v>
      </c>
      <c r="I152" s="34">
        <v>89.99</v>
      </c>
      <c r="J152" s="34" t="str">
        <v>Cash</v>
      </c>
      <c r="K152" s="34" t="str">
        <v>Central</v>
      </c>
      <c r="L152" s="34" t="str">
        <v>Premium</v>
      </c>
      <c r="M152" s="36">
        <v>44579</v>
      </c>
      <c r="N152" s="34">
        <v>449.95</v>
      </c>
    </row>
    <row r="153" spans="1:14">
      <c r="A153" s="34" t="str">
        <v>TRX0115</v>
      </c>
      <c r="B153" s="36">
        <v>45459</v>
      </c>
      <c r="C153" s="34" t="str">
        <v>CUST012</v>
      </c>
      <c r="D153" s="34" t="str">
        <v>Patricia Moore</v>
      </c>
      <c r="E153" s="34" t="str">
        <v>P010</v>
      </c>
      <c r="F153" s="34" t="str">
        <v>Keyboard</v>
      </c>
      <c r="G153" s="38" t="str">
        <v>Electronics</v>
      </c>
      <c r="H153" s="39">
        <v>2</v>
      </c>
      <c r="I153" s="34">
        <v>89.99</v>
      </c>
      <c r="J153" s="34" t="str">
        <v>Credit Card</v>
      </c>
      <c r="K153" s="34" t="str">
        <v>South</v>
      </c>
      <c r="L153" s="34" t="str">
        <v>Premium</v>
      </c>
      <c r="M153" s="36">
        <v>44471</v>
      </c>
      <c r="N153" s="34">
        <v>179.98</v>
      </c>
    </row>
    <row r="154" spans="1:14">
      <c r="A154" s="34" t="str">
        <v>TRX0044</v>
      </c>
      <c r="B154" s="36">
        <v>45459</v>
      </c>
      <c r="C154" s="34" t="str">
        <v>CUST029</v>
      </c>
      <c r="D154" s="34" t="str">
        <v>Edward Mitchell</v>
      </c>
      <c r="E154" s="34" t="str">
        <v>P001</v>
      </c>
      <c r="F154" s="34" t="str">
        <v>Laptop</v>
      </c>
      <c r="G154" s="38" t="str">
        <v>Electronics</v>
      </c>
      <c r="H154" s="39">
        <v>5</v>
      </c>
      <c r="I154" s="34">
        <v>899.99</v>
      </c>
      <c r="J154" s="34" t="str">
        <v>PayPal</v>
      </c>
      <c r="K154" s="34" t="str">
        <v>East</v>
      </c>
      <c r="L154" s="34" t="str">
        <v>Premium</v>
      </c>
      <c r="M154" s="36">
        <v>45278</v>
      </c>
      <c r="N154" s="34">
        <v>4499.95</v>
      </c>
    </row>
    <row r="155" spans="1:14">
      <c r="A155" s="34" t="str">
        <v>TRX0061</v>
      </c>
      <c r="B155" s="36">
        <v>45460</v>
      </c>
      <c r="C155" s="34" t="str">
        <v>CUST028</v>
      </c>
      <c r="D155" s="34" t="str">
        <v>Betty Campbell</v>
      </c>
      <c r="E155" s="34" t="str">
        <v>P005</v>
      </c>
      <c r="F155" s="34" t="str">
        <v>Blender</v>
      </c>
      <c r="G155" s="38" t="str">
        <v>Appliances</v>
      </c>
      <c r="H155" s="39">
        <v>1</v>
      </c>
      <c r="I155" s="34">
        <v>59.99</v>
      </c>
      <c r="J155" s="34" t="str">
        <v>Debit Card</v>
      </c>
      <c r="K155" s="34" t="str">
        <v>West</v>
      </c>
      <c r="L155" s="34" t="str">
        <v>Premium</v>
      </c>
      <c r="M155" s="36">
        <v>45190</v>
      </c>
      <c r="N155" s="34">
        <v>59.99</v>
      </c>
    </row>
    <row r="156" spans="1:14">
      <c r="A156" s="34" t="str">
        <v>TRX0078</v>
      </c>
      <c r="B156" s="36">
        <v>45469</v>
      </c>
      <c r="C156" s="34" t="str">
        <v>CUST021</v>
      </c>
      <c r="D156" s="34" t="str">
        <v>Kevin Scott</v>
      </c>
      <c r="E156" s="34" t="str">
        <v>P004</v>
      </c>
      <c r="F156" s="34" t="str">
        <v>Coffee Maker</v>
      </c>
      <c r="G156" s="38" t="str">
        <v>Appliances</v>
      </c>
      <c r="H156" s="39">
        <v>1</v>
      </c>
      <c r="I156" s="34">
        <v>79.989999999999995</v>
      </c>
      <c r="J156" s="34" t="str">
        <v>PayPal</v>
      </c>
      <c r="K156" s="34" t="str">
        <v>Central</v>
      </c>
      <c r="L156" s="34" t="str">
        <v>Premium</v>
      </c>
      <c r="M156" s="36">
        <v>45352</v>
      </c>
      <c r="N156" s="34">
        <v>79.989999999999995</v>
      </c>
    </row>
    <row r="157" spans="1:14">
      <c r="A157" s="34" t="str">
        <v>TRX0184</v>
      </c>
      <c r="B157" s="36">
        <v>45471</v>
      </c>
      <c r="C157" s="34" t="str">
        <v>CUST046</v>
      </c>
      <c r="D157" s="34" t="str">
        <v>Kathleen Bennett</v>
      </c>
      <c r="E157" s="34" t="str">
        <v>P002</v>
      </c>
      <c r="F157" s="34" t="str">
        <v>Smartphone</v>
      </c>
      <c r="G157" s="38" t="str">
        <v>Electronics</v>
      </c>
      <c r="H157" s="39">
        <v>3</v>
      </c>
      <c r="I157" s="34">
        <v>699.99</v>
      </c>
      <c r="J157" s="34" t="str">
        <v>Credit Card</v>
      </c>
      <c r="K157" s="34" t="str">
        <v>East</v>
      </c>
      <c r="L157" s="34" t="str">
        <v>Premium</v>
      </c>
      <c r="M157" s="36">
        <v>45102</v>
      </c>
      <c r="N157" s="34">
        <v>2099.9699999999998</v>
      </c>
    </row>
    <row r="158" spans="1:14">
      <c r="A158" s="34" t="str">
        <v>TRX0104</v>
      </c>
      <c r="B158" s="36">
        <v>45471</v>
      </c>
      <c r="C158" s="34" t="str">
        <v>CUST012</v>
      </c>
      <c r="D158" s="34" t="str">
        <v>Patricia Moore</v>
      </c>
      <c r="E158" s="34" t="str">
        <v>P001</v>
      </c>
      <c r="F158" s="34" t="str">
        <v>Laptop</v>
      </c>
      <c r="G158" s="38" t="str">
        <v>Electronics</v>
      </c>
      <c r="H158" s="39">
        <v>4</v>
      </c>
      <c r="I158" s="34">
        <v>899.99</v>
      </c>
      <c r="J158" s="34" t="str">
        <v>Credit Card</v>
      </c>
      <c r="K158" s="34" t="str">
        <v>East</v>
      </c>
      <c r="L158" s="34" t="str">
        <v>Premium</v>
      </c>
      <c r="M158" s="36">
        <v>44993</v>
      </c>
      <c r="N158" s="34">
        <v>3599.96</v>
      </c>
    </row>
    <row r="159" spans="1:14">
      <c r="A159" s="34" t="str">
        <v>TRX0096</v>
      </c>
      <c r="B159" s="36">
        <v>45474</v>
      </c>
      <c r="C159" s="34" t="str">
        <v>CUST002</v>
      </c>
      <c r="D159" s="34" t="str">
        <v>Emma Wilson</v>
      </c>
      <c r="E159" s="34" t="str">
        <v>P010</v>
      </c>
      <c r="F159" s="34" t="str">
        <v>Keyboard</v>
      </c>
      <c r="G159" s="38" t="str">
        <v>Electronics</v>
      </c>
      <c r="H159" s="39">
        <v>2</v>
      </c>
      <c r="I159" s="34">
        <v>89.99</v>
      </c>
      <c r="J159" s="34" t="str">
        <v>PayPal</v>
      </c>
      <c r="K159" s="34" t="str">
        <v>Central</v>
      </c>
      <c r="L159" s="34" t="str">
        <v>Premium</v>
      </c>
      <c r="M159" s="36">
        <v>45275</v>
      </c>
      <c r="N159" s="34">
        <v>179.98</v>
      </c>
    </row>
    <row r="160" spans="1:14">
      <c r="A160" s="34" t="str">
        <v>TRX0113</v>
      </c>
      <c r="B160" s="36">
        <v>45481</v>
      </c>
      <c r="C160" s="34" t="str">
        <v>CUST003</v>
      </c>
      <c r="D160" s="34" t="str">
        <v>Michael Brown</v>
      </c>
      <c r="E160" s="34" t="str">
        <v>P002</v>
      </c>
      <c r="F160" s="34" t="str">
        <v>Smartphone</v>
      </c>
      <c r="G160" s="38" t="str">
        <v>Electronics</v>
      </c>
      <c r="H160" s="39">
        <v>2</v>
      </c>
      <c r="I160" s="34">
        <v>699.99</v>
      </c>
      <c r="J160" s="34" t="str">
        <v>PayPal</v>
      </c>
      <c r="K160" s="34" t="str">
        <v>East</v>
      </c>
      <c r="L160" s="34" t="str">
        <v>Premium</v>
      </c>
      <c r="M160" s="36">
        <v>45389</v>
      </c>
      <c r="N160" s="34">
        <v>1399.98</v>
      </c>
    </row>
    <row r="161" spans="1:14">
      <c r="A161" s="34" t="str">
        <v>TRX0114</v>
      </c>
      <c r="B161" s="36">
        <v>45481</v>
      </c>
      <c r="C161" s="34" t="str">
        <v>CUST018</v>
      </c>
      <c r="D161" s="34" t="str">
        <v>Barbara Young</v>
      </c>
      <c r="E161" s="34" t="str">
        <v>P010</v>
      </c>
      <c r="F161" s="34" t="str">
        <v>Keyboard</v>
      </c>
      <c r="G161" s="38" t="str">
        <v>Electronics</v>
      </c>
      <c r="H161" s="39">
        <v>5</v>
      </c>
      <c r="I161" s="34">
        <v>89.99</v>
      </c>
      <c r="J161" s="34" t="str">
        <v>Debit Card</v>
      </c>
      <c r="K161" s="34" t="str">
        <v>North</v>
      </c>
      <c r="L161" s="34" t="str">
        <v>Premium</v>
      </c>
      <c r="M161" s="36">
        <v>45161</v>
      </c>
      <c r="N161" s="34">
        <v>449.95</v>
      </c>
    </row>
    <row r="162" spans="1:14">
      <c r="A162" s="34" t="str">
        <v>TRX0141</v>
      </c>
      <c r="B162" s="36">
        <v>45484</v>
      </c>
      <c r="C162" s="34" t="str">
        <v>CUST033</v>
      </c>
      <c r="D162" s="34" t="str">
        <v>Frank Torres</v>
      </c>
      <c r="E162" s="34" t="str">
        <v>P007</v>
      </c>
      <c r="F162" s="34" t="str">
        <v>Desk</v>
      </c>
      <c r="G162" s="38" t="str">
        <v>Furniture</v>
      </c>
      <c r="H162" s="39">
        <v>1</v>
      </c>
      <c r="I162" s="34">
        <v>299.99</v>
      </c>
      <c r="J162" s="34" t="str">
        <v>Credit Card</v>
      </c>
      <c r="K162" s="34" t="str">
        <v>North</v>
      </c>
      <c r="L162" s="34" t="str">
        <v>Premium</v>
      </c>
      <c r="M162" s="36">
        <v>44891</v>
      </c>
      <c r="N162" s="34">
        <v>299.99</v>
      </c>
    </row>
    <row r="163" spans="1:14">
      <c r="A163" s="34" t="str">
        <v>TRX0216</v>
      </c>
      <c r="B163" s="36">
        <v>45490</v>
      </c>
      <c r="C163" s="34" t="str">
        <v>CUST041</v>
      </c>
      <c r="D163" s="34" t="str">
        <v>Peter Richardson</v>
      </c>
      <c r="E163" s="34" t="str">
        <v>P008</v>
      </c>
      <c r="F163" s="34" t="str">
        <v>Bookshelf</v>
      </c>
      <c r="G163" s="38" t="str">
        <v>Furniture</v>
      </c>
      <c r="H163" s="39">
        <v>3</v>
      </c>
      <c r="I163" s="34">
        <v>149.99</v>
      </c>
      <c r="J163" s="34" t="str">
        <v>Cash</v>
      </c>
      <c r="K163" s="34" t="str">
        <v>Central</v>
      </c>
      <c r="L163" s="34" t="str">
        <v>Premium</v>
      </c>
      <c r="M163" s="36">
        <v>45199</v>
      </c>
      <c r="N163" s="34">
        <v>449.97</v>
      </c>
    </row>
    <row r="164" spans="1:14">
      <c r="A164" s="34" t="str">
        <v>TRX0131</v>
      </c>
      <c r="B164" s="36">
        <v>45491</v>
      </c>
      <c r="C164" s="34" t="str">
        <v>CUST026</v>
      </c>
      <c r="D164" s="34" t="str">
        <v>Karen Hill</v>
      </c>
      <c r="E164" s="34" t="str">
        <v>P006</v>
      </c>
      <c r="F164" s="34" t="str">
        <v>Office Chair</v>
      </c>
      <c r="G164" s="38" t="str">
        <v>Furniture</v>
      </c>
      <c r="H164" s="39">
        <v>3</v>
      </c>
      <c r="I164" s="34">
        <v>199.99</v>
      </c>
      <c r="J164" s="34" t="str">
        <v>Cash</v>
      </c>
      <c r="K164" s="34" t="str">
        <v>North</v>
      </c>
      <c r="L164" s="34" t="str">
        <v>Premium</v>
      </c>
      <c r="M164" s="36">
        <v>45254</v>
      </c>
      <c r="N164" s="34">
        <v>599.97</v>
      </c>
    </row>
    <row r="165" spans="1:14">
      <c r="A165" s="34" t="str">
        <v>TRX0080</v>
      </c>
      <c r="B165" s="36">
        <v>45500</v>
      </c>
      <c r="C165" s="34" t="str">
        <v>CUST018</v>
      </c>
      <c r="D165" s="34" t="str">
        <v>Barbara Young</v>
      </c>
      <c r="E165" s="34" t="str">
        <v>P009</v>
      </c>
      <c r="F165" s="34" t="str">
        <v>Monitor</v>
      </c>
      <c r="G165" s="38" t="str">
        <v>Electronics</v>
      </c>
      <c r="H165" s="39">
        <v>2</v>
      </c>
      <c r="I165" s="34">
        <v>249.99</v>
      </c>
      <c r="J165" s="34" t="str">
        <v>Cash</v>
      </c>
      <c r="K165" s="34" t="str">
        <v>North</v>
      </c>
      <c r="L165" s="34" t="str">
        <v>Premium</v>
      </c>
      <c r="M165" s="36">
        <v>45164</v>
      </c>
      <c r="N165" s="34">
        <v>499.98</v>
      </c>
    </row>
    <row r="166" spans="1:14">
      <c r="A166" s="34" t="str">
        <v>TRX0217</v>
      </c>
      <c r="B166" s="36">
        <v>45503</v>
      </c>
      <c r="C166" s="34" t="str">
        <v>CUST025</v>
      </c>
      <c r="D166" s="34" t="str">
        <v>Mark Carter</v>
      </c>
      <c r="E166" s="34" t="str">
        <v>P002</v>
      </c>
      <c r="F166" s="34" t="str">
        <v>Smartphone</v>
      </c>
      <c r="G166" s="38" t="str">
        <v>Electronics</v>
      </c>
      <c r="H166" s="39">
        <v>2</v>
      </c>
      <c r="I166" s="34">
        <v>699.99</v>
      </c>
      <c r="J166" s="34" t="str">
        <v>Credit Card</v>
      </c>
      <c r="K166" s="34" t="str">
        <v>North</v>
      </c>
      <c r="L166" s="34" t="str">
        <v>Premium</v>
      </c>
      <c r="M166" s="36">
        <v>44999</v>
      </c>
      <c r="N166" s="34">
        <v>1399.98</v>
      </c>
    </row>
    <row r="167" spans="1:14">
      <c r="A167" s="34" t="str">
        <v>TRX0020</v>
      </c>
      <c r="B167" s="36">
        <v>45517</v>
      </c>
      <c r="C167" s="34" t="str">
        <v>CUST007</v>
      </c>
      <c r="D167" s="34" t="str">
        <v>David Martinez</v>
      </c>
      <c r="E167" s="34" t="str">
        <v>P003</v>
      </c>
      <c r="F167" s="34" t="str">
        <v>Headphones</v>
      </c>
      <c r="G167" s="38" t="str">
        <v>Electronics</v>
      </c>
      <c r="H167" s="39">
        <v>4</v>
      </c>
      <c r="I167" s="34">
        <v>149.99</v>
      </c>
      <c r="J167" s="34" t="str">
        <v>Debit Card</v>
      </c>
      <c r="K167" s="34" t="str">
        <v>South</v>
      </c>
      <c r="L167" s="34" t="str">
        <v>Premium</v>
      </c>
      <c r="M167" s="36">
        <v>44820</v>
      </c>
      <c r="N167" s="34">
        <v>599.96</v>
      </c>
    </row>
    <row r="168" spans="1:14">
      <c r="A168" s="34" t="str">
        <v>TRX0075</v>
      </c>
      <c r="B168" s="36">
        <v>45517</v>
      </c>
      <c r="C168" s="34" t="str">
        <v>CUST020</v>
      </c>
      <c r="D168" s="34" t="str">
        <v>Margaret Wright</v>
      </c>
      <c r="E168" s="34" t="str">
        <v>P009</v>
      </c>
      <c r="F168" s="34" t="str">
        <v>Monitor</v>
      </c>
      <c r="G168" s="38" t="str">
        <v>Electronics</v>
      </c>
      <c r="H168" s="39">
        <v>5</v>
      </c>
      <c r="I168" s="34">
        <v>249.99</v>
      </c>
      <c r="J168" s="34" t="str">
        <v>PayPal</v>
      </c>
      <c r="K168" s="34" t="str">
        <v>East</v>
      </c>
      <c r="L168" s="34" t="str">
        <v>Premium</v>
      </c>
      <c r="M168" s="36">
        <v>44782</v>
      </c>
      <c r="N168" s="34">
        <v>1249.95</v>
      </c>
    </row>
    <row r="169" spans="1:14">
      <c r="A169" s="34" t="str">
        <v>TRX0098</v>
      </c>
      <c r="B169" s="36">
        <v>45517</v>
      </c>
      <c r="C169" s="34" t="str">
        <v>CUST026</v>
      </c>
      <c r="D169" s="34" t="str">
        <v>Karen Hill</v>
      </c>
      <c r="E169" s="34" t="str">
        <v>P009</v>
      </c>
      <c r="F169" s="34" t="str">
        <v>Monitor</v>
      </c>
      <c r="G169" s="38" t="str">
        <v>Electronics</v>
      </c>
      <c r="H169" s="39">
        <v>3</v>
      </c>
      <c r="I169" s="34">
        <v>249.99</v>
      </c>
      <c r="J169" s="34" t="str">
        <v>PayPal</v>
      </c>
      <c r="K169" s="34" t="str">
        <v>North</v>
      </c>
      <c r="L169" s="34" t="str">
        <v>Premium</v>
      </c>
      <c r="M169" s="36">
        <v>44465</v>
      </c>
      <c r="N169" s="34">
        <v>749.97</v>
      </c>
    </row>
    <row r="170" spans="1:14">
      <c r="A170" s="34" t="str">
        <v>TRX0027</v>
      </c>
      <c r="B170" s="36">
        <v>45519</v>
      </c>
      <c r="C170" s="34" t="str">
        <v>CUST028</v>
      </c>
      <c r="D170" s="34" t="str">
        <v>Betty Campbell</v>
      </c>
      <c r="E170" s="34" t="str">
        <v>P006</v>
      </c>
      <c r="F170" s="34" t="str">
        <v>Office Chair</v>
      </c>
      <c r="G170" s="38" t="str">
        <v>Furniture</v>
      </c>
      <c r="H170" s="39">
        <v>5</v>
      </c>
      <c r="I170" s="34">
        <v>199.99</v>
      </c>
      <c r="J170" s="34" t="str">
        <v>Cash</v>
      </c>
      <c r="K170" s="34" t="str">
        <v>North</v>
      </c>
      <c r="L170" s="34" t="str">
        <v>Premium</v>
      </c>
      <c r="M170" s="36">
        <v>44991</v>
      </c>
      <c r="N170" s="34">
        <v>999.95</v>
      </c>
    </row>
    <row r="171" spans="1:14">
      <c r="A171" s="34" t="str">
        <v>TRX0140</v>
      </c>
      <c r="B171" s="36">
        <v>45522</v>
      </c>
      <c r="C171" s="34" t="str">
        <v>CUST025</v>
      </c>
      <c r="D171" s="34" t="str">
        <v>Mark Carter</v>
      </c>
      <c r="E171" s="34" t="str">
        <v>P010</v>
      </c>
      <c r="F171" s="34" t="str">
        <v>Keyboard</v>
      </c>
      <c r="G171" s="38" t="str">
        <v>Electronics</v>
      </c>
      <c r="H171" s="39">
        <v>2</v>
      </c>
      <c r="I171" s="34">
        <v>89.99</v>
      </c>
      <c r="J171" s="34" t="str">
        <v>Cash</v>
      </c>
      <c r="K171" s="34" t="str">
        <v>East</v>
      </c>
      <c r="L171" s="34" t="str">
        <v>Premium</v>
      </c>
      <c r="M171" s="36">
        <v>44972</v>
      </c>
      <c r="N171" s="34">
        <v>179.98</v>
      </c>
    </row>
    <row r="172" spans="1:14">
      <c r="A172" s="34" t="str">
        <v>TRX0001</v>
      </c>
      <c r="B172" s="36">
        <v>45528</v>
      </c>
      <c r="C172" s="34" t="str">
        <v>CUST039</v>
      </c>
      <c r="D172" s="34" t="str">
        <v>Lawrence Reed</v>
      </c>
      <c r="E172" s="34" t="str">
        <v>P004</v>
      </c>
      <c r="F172" s="34" t="str">
        <v>Coffee Maker</v>
      </c>
      <c r="G172" s="38" t="str">
        <v>Appliances</v>
      </c>
      <c r="H172" s="39">
        <v>3</v>
      </c>
      <c r="I172" s="34">
        <v>79.989999999999995</v>
      </c>
      <c r="J172" s="34" t="str">
        <v>Cash</v>
      </c>
      <c r="K172" s="34" t="str">
        <v>Central</v>
      </c>
      <c r="L172" s="34" t="str">
        <v>Premium</v>
      </c>
      <c r="M172" s="36">
        <v>44779</v>
      </c>
      <c r="N172" s="34">
        <v>239.97</v>
      </c>
    </row>
    <row r="173" spans="1:14">
      <c r="A173" s="34" t="str">
        <v>TRX0058</v>
      </c>
      <c r="B173" s="36">
        <v>45532</v>
      </c>
      <c r="C173" s="34" t="str">
        <v>CUST047</v>
      </c>
      <c r="D173" s="34" t="str">
        <v>Gerald Murphy</v>
      </c>
      <c r="E173" s="34" t="str">
        <v>P002</v>
      </c>
      <c r="F173" s="34" t="str">
        <v>Smartphone</v>
      </c>
      <c r="G173" s="38" t="str">
        <v>Electronics</v>
      </c>
      <c r="H173" s="39">
        <v>1</v>
      </c>
      <c r="I173" s="34">
        <v>699.99</v>
      </c>
      <c r="J173" s="34" t="str">
        <v>Cash</v>
      </c>
      <c r="K173" s="34" t="str">
        <v>Central</v>
      </c>
      <c r="L173" s="34" t="str">
        <v>Premium</v>
      </c>
      <c r="M173" s="36">
        <v>44497</v>
      </c>
      <c r="N173" s="34">
        <v>699.99</v>
      </c>
    </row>
    <row r="174" spans="1:14">
      <c r="A174" s="34" t="str">
        <v>TRX0170</v>
      </c>
      <c r="B174" s="36">
        <v>45532</v>
      </c>
      <c r="C174" s="34" t="str">
        <v>CUST034</v>
      </c>
      <c r="D174" s="34" t="str">
        <v>Carol Evans</v>
      </c>
      <c r="E174" s="34" t="str">
        <v>P003</v>
      </c>
      <c r="F174" s="34" t="str">
        <v>Headphones</v>
      </c>
      <c r="G174" s="38" t="str">
        <v>Electronics</v>
      </c>
      <c r="H174" s="39">
        <v>3</v>
      </c>
      <c r="I174" s="34">
        <v>149.99</v>
      </c>
      <c r="J174" s="34" t="str">
        <v>Cash</v>
      </c>
      <c r="K174" s="34" t="str">
        <v>West</v>
      </c>
      <c r="L174" s="34" t="str">
        <v>Premium</v>
      </c>
      <c r="M174" s="36">
        <v>45212</v>
      </c>
      <c r="N174" s="34">
        <v>449.97</v>
      </c>
    </row>
    <row r="175" spans="1:14">
      <c r="A175" s="34" t="str">
        <v>TRX0248</v>
      </c>
      <c r="B175" s="36">
        <v>45534</v>
      </c>
      <c r="C175" s="34" t="str">
        <v>CUST032</v>
      </c>
      <c r="D175" s="34" t="str">
        <v>Sandra Phillips</v>
      </c>
      <c r="E175" s="34" t="str">
        <v>P002</v>
      </c>
      <c r="F175" s="34" t="str">
        <v>Smartphone</v>
      </c>
      <c r="G175" s="38" t="str">
        <v>Electronics</v>
      </c>
      <c r="H175" s="39">
        <v>2</v>
      </c>
      <c r="I175" s="34">
        <v>699.99</v>
      </c>
      <c r="J175" s="34" t="str">
        <v>Credit Card</v>
      </c>
      <c r="K175" s="34" t="str">
        <v>North</v>
      </c>
      <c r="L175" s="34" t="str">
        <v>Premium</v>
      </c>
      <c r="M175" s="36">
        <v>44421</v>
      </c>
      <c r="N175" s="34">
        <v>1399.98</v>
      </c>
    </row>
    <row r="176" spans="1:14">
      <c r="A176" s="34" t="str">
        <v>TRX0099</v>
      </c>
      <c r="B176" s="36">
        <v>45537</v>
      </c>
      <c r="C176" s="34" t="str">
        <v>CUST034</v>
      </c>
      <c r="D176" s="34" t="str">
        <v>Carol Evans</v>
      </c>
      <c r="E176" s="34" t="str">
        <v>P009</v>
      </c>
      <c r="F176" s="34" t="str">
        <v>Monitor</v>
      </c>
      <c r="G176" s="38" t="str">
        <v>Electronics</v>
      </c>
      <c r="H176" s="39">
        <v>1</v>
      </c>
      <c r="I176" s="34">
        <v>249.99</v>
      </c>
      <c r="J176" s="34" t="str">
        <v>Credit Card</v>
      </c>
      <c r="K176" s="34" t="str">
        <v>West</v>
      </c>
      <c r="L176" s="34" t="str">
        <v>Premium</v>
      </c>
      <c r="M176" s="36">
        <v>44685</v>
      </c>
      <c r="N176" s="34">
        <v>249.99</v>
      </c>
    </row>
    <row r="177" spans="1:14">
      <c r="A177" s="34" t="str">
        <v>TRX0074</v>
      </c>
      <c r="B177" s="36">
        <v>45537</v>
      </c>
      <c r="C177" s="34" t="str">
        <v>CUST023</v>
      </c>
      <c r="D177" s="34" t="str">
        <v>Paul Baker</v>
      </c>
      <c r="E177" s="34" t="str">
        <v>P009</v>
      </c>
      <c r="F177" s="34" t="str">
        <v>Monitor</v>
      </c>
      <c r="G177" s="38" t="str">
        <v>Electronics</v>
      </c>
      <c r="H177" s="39">
        <v>1</v>
      </c>
      <c r="I177" s="34">
        <v>249.99</v>
      </c>
      <c r="J177" s="34" t="str">
        <v>Debit Card</v>
      </c>
      <c r="K177" s="34" t="str">
        <v>North</v>
      </c>
      <c r="L177" s="34" t="str">
        <v>Premium</v>
      </c>
      <c r="M177" s="36">
        <v>45332</v>
      </c>
      <c r="N177" s="34">
        <v>249.99</v>
      </c>
    </row>
    <row r="178" spans="1:14">
      <c r="A178" s="34" t="str">
        <v>TRX0225</v>
      </c>
      <c r="B178" s="36">
        <v>45538</v>
      </c>
      <c r="C178" s="34" t="str">
        <v>CUST039</v>
      </c>
      <c r="D178" s="34" t="str">
        <v>Lawrence Reed</v>
      </c>
      <c r="E178" s="34" t="str">
        <v>P002</v>
      </c>
      <c r="F178" s="34" t="str">
        <v>Smartphone</v>
      </c>
      <c r="G178" s="38" t="str">
        <v>Electronics</v>
      </c>
      <c r="H178" s="39">
        <v>2</v>
      </c>
      <c r="I178" s="34">
        <v>699.99</v>
      </c>
      <c r="J178" s="34" t="str">
        <v>Debit Card</v>
      </c>
      <c r="K178" s="34" t="str">
        <v>Central</v>
      </c>
      <c r="L178" s="34" t="str">
        <v>Premium</v>
      </c>
      <c r="M178" s="36">
        <v>44870</v>
      </c>
      <c r="N178" s="34">
        <v>1399.98</v>
      </c>
    </row>
    <row r="179" spans="1:14">
      <c r="A179" s="34" t="str">
        <v>TRX0100</v>
      </c>
      <c r="B179" s="36">
        <v>45541</v>
      </c>
      <c r="C179" s="34" t="str">
        <v>CUST031</v>
      </c>
      <c r="D179" s="34" t="str">
        <v>Steven Turner</v>
      </c>
      <c r="E179" s="34" t="str">
        <v>P005</v>
      </c>
      <c r="F179" s="34" t="str">
        <v>Blender</v>
      </c>
      <c r="G179" s="38" t="str">
        <v>Appliances</v>
      </c>
      <c r="H179" s="39">
        <v>3</v>
      </c>
      <c r="I179" s="34">
        <v>59.99</v>
      </c>
      <c r="J179" s="34" t="str">
        <v>Credit Card</v>
      </c>
      <c r="K179" s="34" t="str">
        <v>Central</v>
      </c>
      <c r="L179" s="34" t="str">
        <v>Premium</v>
      </c>
      <c r="M179" s="36">
        <v>44717</v>
      </c>
      <c r="N179" s="34">
        <v>179.97</v>
      </c>
    </row>
    <row r="180" spans="1:14">
      <c r="A180" s="34" t="str">
        <v>TRX0108</v>
      </c>
      <c r="B180" s="36">
        <v>45547</v>
      </c>
      <c r="C180" s="34" t="str">
        <v>CUST024</v>
      </c>
      <c r="D180" s="34" t="str">
        <v>Dorothy Nelson</v>
      </c>
      <c r="E180" s="34" t="str">
        <v>P007</v>
      </c>
      <c r="F180" s="34" t="str">
        <v>Desk</v>
      </c>
      <c r="G180" s="38" t="str">
        <v>Furniture</v>
      </c>
      <c r="H180" s="39">
        <v>3</v>
      </c>
      <c r="I180" s="34">
        <v>299.99</v>
      </c>
      <c r="J180" s="34" t="str">
        <v>Credit Card</v>
      </c>
      <c r="K180" s="34" t="str">
        <v>Central</v>
      </c>
      <c r="L180" s="34" t="str">
        <v>Premium</v>
      </c>
      <c r="M180" s="36">
        <v>44494</v>
      </c>
      <c r="N180" s="34">
        <v>899.97</v>
      </c>
    </row>
    <row r="181" spans="1:14">
      <c r="A181" s="34" t="str">
        <v>TRX0211</v>
      </c>
      <c r="B181" s="36">
        <v>45548</v>
      </c>
      <c r="C181" s="34" t="str">
        <v>CUST046</v>
      </c>
      <c r="D181" s="34" t="str">
        <v>Kathleen Bennett</v>
      </c>
      <c r="E181" s="34" t="str">
        <v>P010</v>
      </c>
      <c r="F181" s="34" t="str">
        <v>Keyboard</v>
      </c>
      <c r="G181" s="38" t="str">
        <v>Electronics</v>
      </c>
      <c r="H181" s="39">
        <v>2</v>
      </c>
      <c r="I181" s="34">
        <v>89.99</v>
      </c>
      <c r="J181" s="34" t="str">
        <v>Credit Card</v>
      </c>
      <c r="K181" s="34" t="str">
        <v>South</v>
      </c>
      <c r="L181" s="34" t="str">
        <v>Premium</v>
      </c>
      <c r="M181" s="36">
        <v>44641</v>
      </c>
      <c r="N181" s="34">
        <v>179.98</v>
      </c>
    </row>
    <row r="182" spans="1:14">
      <c r="A182" s="34" t="str">
        <v>TRX0077</v>
      </c>
      <c r="B182" s="36">
        <v>45554</v>
      </c>
      <c r="C182" s="34" t="str">
        <v>CUST019</v>
      </c>
      <c r="D182" s="34" t="str">
        <v>Daniel King</v>
      </c>
      <c r="E182" s="34" t="str">
        <v>P010</v>
      </c>
      <c r="F182" s="34" t="str">
        <v>Keyboard</v>
      </c>
      <c r="G182" s="38" t="str">
        <v>Electronics</v>
      </c>
      <c r="H182" s="39">
        <v>5</v>
      </c>
      <c r="I182" s="34">
        <v>89.99</v>
      </c>
      <c r="J182" s="34" t="str">
        <v>Credit Card</v>
      </c>
      <c r="K182" s="34" t="str">
        <v>East</v>
      </c>
      <c r="L182" s="34" t="str">
        <v>Premium</v>
      </c>
      <c r="M182" s="36">
        <v>44446</v>
      </c>
      <c r="N182" s="34">
        <v>449.95</v>
      </c>
    </row>
    <row r="183" spans="1:14">
      <c r="A183" s="34" t="str">
        <v>TRX0174</v>
      </c>
      <c r="B183" s="36">
        <v>45566</v>
      </c>
      <c r="C183" s="34" t="str">
        <v>CUST003</v>
      </c>
      <c r="D183" s="34" t="str">
        <v>Michael Brown</v>
      </c>
      <c r="E183" s="34" t="str">
        <v>P007</v>
      </c>
      <c r="F183" s="34" t="str">
        <v>Desk</v>
      </c>
      <c r="G183" s="38" t="str">
        <v>Furniture</v>
      </c>
      <c r="H183" s="39">
        <v>4</v>
      </c>
      <c r="I183" s="34">
        <v>299.99</v>
      </c>
      <c r="J183" s="34" t="str">
        <v>Cash</v>
      </c>
      <c r="K183" s="34" t="str">
        <v>Central</v>
      </c>
      <c r="L183" s="34" t="str">
        <v>Premium</v>
      </c>
      <c r="M183" s="36">
        <v>44460</v>
      </c>
      <c r="N183" s="34">
        <v>1199.96</v>
      </c>
    </row>
    <row r="184" spans="1:14">
      <c r="A184" s="34" t="str">
        <v>TRX0203</v>
      </c>
      <c r="B184" s="36">
        <v>45572</v>
      </c>
      <c r="C184" s="34" t="str">
        <v>CUST032</v>
      </c>
      <c r="D184" s="34" t="str">
        <v>Sandra Phillips</v>
      </c>
      <c r="E184" s="34" t="str">
        <v>P003</v>
      </c>
      <c r="F184" s="34" t="str">
        <v>Headphones</v>
      </c>
      <c r="G184" s="38" t="str">
        <v>Electronics</v>
      </c>
      <c r="H184" s="39">
        <v>4</v>
      </c>
      <c r="I184" s="34">
        <v>149.99</v>
      </c>
      <c r="J184" s="34" t="str">
        <v>Credit Card</v>
      </c>
      <c r="K184" s="34" t="str">
        <v>North</v>
      </c>
      <c r="L184" s="34" t="str">
        <v>Premium</v>
      </c>
      <c r="M184" s="36">
        <v>45076</v>
      </c>
      <c r="N184" s="34">
        <v>599.96</v>
      </c>
    </row>
    <row r="185" spans="1:14">
      <c r="A185" s="34" t="str">
        <v>TRX0055</v>
      </c>
      <c r="B185" s="36">
        <v>45573</v>
      </c>
      <c r="C185" s="34" t="str">
        <v>CUST016</v>
      </c>
      <c r="D185" s="34" t="str">
        <v>Elizabeth Hall</v>
      </c>
      <c r="E185" s="34" t="str">
        <v>P002</v>
      </c>
      <c r="F185" s="34" t="str">
        <v>Smartphone</v>
      </c>
      <c r="G185" s="38" t="str">
        <v>Electronics</v>
      </c>
      <c r="H185" s="39">
        <v>2</v>
      </c>
      <c r="I185" s="34">
        <v>699.99</v>
      </c>
      <c r="J185" s="34" t="str">
        <v>Debit Card</v>
      </c>
      <c r="K185" s="34" t="str">
        <v>East</v>
      </c>
      <c r="L185" s="34" t="str">
        <v>Premium</v>
      </c>
      <c r="M185" s="36">
        <v>45274</v>
      </c>
      <c r="N185" s="34">
        <v>1399.98</v>
      </c>
    </row>
    <row r="186" spans="1:14">
      <c r="A186" s="34" t="str">
        <v>TRX0167</v>
      </c>
      <c r="B186" s="36">
        <v>45589</v>
      </c>
      <c r="C186" s="34" t="str">
        <v>CUST028</v>
      </c>
      <c r="D186" s="34" t="str">
        <v>Betty Campbell</v>
      </c>
      <c r="E186" s="34" t="str">
        <v>P002</v>
      </c>
      <c r="F186" s="34" t="str">
        <v>Smartphone</v>
      </c>
      <c r="G186" s="38" t="str">
        <v>Electronics</v>
      </c>
      <c r="H186" s="39">
        <v>5</v>
      </c>
      <c r="I186" s="34">
        <v>699.99</v>
      </c>
      <c r="J186" s="34" t="str">
        <v>Cash</v>
      </c>
      <c r="K186" s="34" t="str">
        <v>North</v>
      </c>
      <c r="L186" s="34" t="str">
        <v>Premium</v>
      </c>
      <c r="M186" s="36">
        <v>44635</v>
      </c>
      <c r="N186" s="34">
        <v>3499.95</v>
      </c>
    </row>
    <row r="187" spans="1:14">
      <c r="A187" s="34" t="str">
        <v>TRX0060</v>
      </c>
      <c r="B187" s="36">
        <v>45603</v>
      </c>
      <c r="C187" s="34" t="str">
        <v>CUST012</v>
      </c>
      <c r="D187" s="34" t="str">
        <v>Patricia Moore</v>
      </c>
      <c r="E187" s="34" t="str">
        <v>P010</v>
      </c>
      <c r="F187" s="34" t="str">
        <v>Keyboard</v>
      </c>
      <c r="G187" s="38" t="str">
        <v>Electronics</v>
      </c>
      <c r="H187" s="39">
        <v>3</v>
      </c>
      <c r="I187" s="34">
        <v>89.99</v>
      </c>
      <c r="J187" s="34" t="str">
        <v>Credit Card</v>
      </c>
      <c r="K187" s="34" t="str">
        <v>North</v>
      </c>
      <c r="L187" s="34" t="str">
        <v>Premium</v>
      </c>
      <c r="M187" s="36">
        <v>44420</v>
      </c>
      <c r="N187" s="34">
        <v>269.97000000000003</v>
      </c>
    </row>
    <row r="188" spans="1:14">
      <c r="A188" s="34" t="str">
        <v>TRX0109</v>
      </c>
      <c r="B188" s="36">
        <v>45604</v>
      </c>
      <c r="C188" s="34" t="str">
        <v>CUST010</v>
      </c>
      <c r="D188" s="34" t="str">
        <v>Maria Garcia</v>
      </c>
      <c r="E188" s="34" t="str">
        <v>P008</v>
      </c>
      <c r="F188" s="34" t="str">
        <v>Bookshelf</v>
      </c>
      <c r="G188" s="38" t="str">
        <v>Furniture</v>
      </c>
      <c r="H188" s="39">
        <v>2</v>
      </c>
      <c r="I188" s="34">
        <v>149.99</v>
      </c>
      <c r="J188" s="34" t="str">
        <v>Credit Card</v>
      </c>
      <c r="K188" s="34" t="str">
        <v>West</v>
      </c>
      <c r="L188" s="34" t="str">
        <v>Premium</v>
      </c>
      <c r="M188" s="36">
        <v>44848</v>
      </c>
      <c r="N188" s="34">
        <v>299.98</v>
      </c>
    </row>
    <row r="189" spans="1:14">
      <c r="A189" s="34" t="str">
        <v>TRX0090</v>
      </c>
      <c r="B189" s="36">
        <v>45605</v>
      </c>
      <c r="C189" s="34" t="str">
        <v>CUST020</v>
      </c>
      <c r="D189" s="34" t="str">
        <v>Margaret Wright</v>
      </c>
      <c r="E189" s="34" t="str">
        <v>P009</v>
      </c>
      <c r="F189" s="34" t="str">
        <v>Monitor</v>
      </c>
      <c r="G189" s="38" t="str">
        <v>Electronics</v>
      </c>
      <c r="H189" s="39">
        <v>1</v>
      </c>
      <c r="I189" s="34">
        <v>249.99</v>
      </c>
      <c r="J189" s="34" t="str">
        <v>Credit Card</v>
      </c>
      <c r="K189" s="34" t="str">
        <v>North</v>
      </c>
      <c r="L189" s="34" t="str">
        <v>Premium</v>
      </c>
      <c r="M189" s="36">
        <v>44828</v>
      </c>
      <c r="N189" s="34">
        <v>249.99</v>
      </c>
    </row>
    <row r="190" spans="1:14">
      <c r="A190" s="34" t="str">
        <v>TRX0172</v>
      </c>
      <c r="B190" s="36">
        <v>45607</v>
      </c>
      <c r="C190" s="34" t="str">
        <v>CUST023</v>
      </c>
      <c r="D190" s="34" t="str">
        <v>Paul Baker</v>
      </c>
      <c r="E190" s="34" t="str">
        <v>P005</v>
      </c>
      <c r="F190" s="34" t="str">
        <v>Blender</v>
      </c>
      <c r="G190" s="38" t="str">
        <v>Appliances</v>
      </c>
      <c r="H190" s="39">
        <v>5</v>
      </c>
      <c r="I190" s="34">
        <v>59.99</v>
      </c>
      <c r="J190" s="34" t="str">
        <v>PayPal</v>
      </c>
      <c r="K190" s="34" t="str">
        <v>West</v>
      </c>
      <c r="L190" s="34" t="str">
        <v>Premium</v>
      </c>
      <c r="M190" s="36">
        <v>44694</v>
      </c>
      <c r="N190" s="34">
        <v>299.95</v>
      </c>
    </row>
    <row r="191" spans="1:14">
      <c r="A191" s="34" t="str">
        <v>TRX0160</v>
      </c>
      <c r="B191" s="36">
        <v>45617</v>
      </c>
      <c r="C191" s="34" t="str">
        <v>CUST029</v>
      </c>
      <c r="D191" s="34" t="str">
        <v>Edward Mitchell</v>
      </c>
      <c r="E191" s="34" t="str">
        <v>P006</v>
      </c>
      <c r="F191" s="34" t="str">
        <v>Office Chair</v>
      </c>
      <c r="G191" s="38" t="str">
        <v>Furniture</v>
      </c>
      <c r="H191" s="39">
        <v>4</v>
      </c>
      <c r="I191" s="34">
        <v>199.99</v>
      </c>
      <c r="J191" s="34" t="str">
        <v>Debit Card</v>
      </c>
      <c r="K191" s="34" t="str">
        <v>Central</v>
      </c>
      <c r="L191" s="34" t="str">
        <v>Premium</v>
      </c>
      <c r="M191" s="36">
        <v>44427</v>
      </c>
      <c r="N191" s="34">
        <v>799.96</v>
      </c>
    </row>
    <row r="192" spans="1:14">
      <c r="A192" s="34" t="str">
        <v>TRX0045</v>
      </c>
      <c r="B192" s="36">
        <v>45627</v>
      </c>
      <c r="C192" s="34" t="str">
        <v>CUST021</v>
      </c>
      <c r="D192" s="34" t="str">
        <v>Kevin Scott</v>
      </c>
      <c r="E192" s="34" t="str">
        <v>P007</v>
      </c>
      <c r="F192" s="34" t="str">
        <v>Desk</v>
      </c>
      <c r="G192" s="38" t="str">
        <v>Furniture</v>
      </c>
      <c r="H192" s="39">
        <v>3</v>
      </c>
      <c r="I192" s="34">
        <v>299.99</v>
      </c>
      <c r="J192" s="34" t="str">
        <v>Cash</v>
      </c>
      <c r="K192" s="34" t="str">
        <v>South</v>
      </c>
      <c r="L192" s="34" t="str">
        <v>Premium</v>
      </c>
      <c r="M192" s="36">
        <v>44659</v>
      </c>
      <c r="N192" s="34">
        <v>899.97</v>
      </c>
    </row>
    <row r="193" spans="1:14">
      <c r="A193" s="34" t="str">
        <v>TRX0094</v>
      </c>
      <c r="B193" s="36">
        <v>45627</v>
      </c>
      <c r="C193" s="34" t="str">
        <v>CUST017</v>
      </c>
      <c r="D193" s="34" t="str">
        <v>Charles Allen</v>
      </c>
      <c r="E193" s="34" t="str">
        <v>P009</v>
      </c>
      <c r="F193" s="34" t="str">
        <v>Monitor</v>
      </c>
      <c r="G193" s="38" t="str">
        <v>Electronics</v>
      </c>
      <c r="H193" s="39">
        <v>5</v>
      </c>
      <c r="I193" s="34">
        <v>249.99</v>
      </c>
      <c r="J193" s="34" t="str">
        <v>Cash</v>
      </c>
      <c r="K193" s="34" t="str">
        <v>Central</v>
      </c>
      <c r="L193" s="34" t="str">
        <v>Premium</v>
      </c>
      <c r="M193" s="36">
        <v>44485</v>
      </c>
      <c r="N193" s="34">
        <v>1249.95</v>
      </c>
    </row>
    <row r="194" spans="1:14">
      <c r="A194" s="34" t="str">
        <v>TRX0133</v>
      </c>
      <c r="B194" s="36">
        <v>45627</v>
      </c>
      <c r="C194" s="34" t="str">
        <v>CUST013</v>
      </c>
      <c r="D194" s="34" t="str">
        <v>Joseph Jackson</v>
      </c>
      <c r="E194" s="34" t="str">
        <v>P003</v>
      </c>
      <c r="F194" s="34" t="str">
        <v>Headphones</v>
      </c>
      <c r="G194" s="38" t="str">
        <v>Electronics</v>
      </c>
      <c r="H194" s="39">
        <v>2</v>
      </c>
      <c r="I194" s="34">
        <v>149.99</v>
      </c>
      <c r="J194" s="34" t="str">
        <v>Cash</v>
      </c>
      <c r="K194" s="34" t="str">
        <v>South</v>
      </c>
      <c r="L194" s="34" t="str">
        <v>Premium</v>
      </c>
      <c r="M194" s="36">
        <v>44475</v>
      </c>
      <c r="N194" s="34">
        <v>299.98</v>
      </c>
    </row>
    <row r="195" spans="1:14">
      <c r="A195" s="34" t="str">
        <v>TRX0137</v>
      </c>
      <c r="B195" s="36">
        <v>45629</v>
      </c>
      <c r="C195" s="34" t="str">
        <v>CUST011</v>
      </c>
      <c r="D195" s="34" t="str">
        <v>William White</v>
      </c>
      <c r="E195" s="34" t="str">
        <v>P009</v>
      </c>
      <c r="F195" s="34" t="str">
        <v>Monitor</v>
      </c>
      <c r="G195" s="38" t="str">
        <v>Electronics</v>
      </c>
      <c r="H195" s="39">
        <v>4</v>
      </c>
      <c r="I195" s="34">
        <v>249.99</v>
      </c>
      <c r="J195" s="34" t="str">
        <v>PayPal</v>
      </c>
      <c r="K195" s="34" t="str">
        <v>East</v>
      </c>
      <c r="L195" s="34" t="str">
        <v>Premium</v>
      </c>
      <c r="M195" s="36">
        <v>45098</v>
      </c>
      <c r="N195" s="34">
        <v>999.96</v>
      </c>
    </row>
    <row r="196" spans="1:14">
      <c r="A196" s="34" t="str">
        <v>TRX0066</v>
      </c>
      <c r="B196" s="36">
        <v>45630</v>
      </c>
      <c r="C196" s="34" t="str">
        <v>CUST024</v>
      </c>
      <c r="D196" s="34" t="str">
        <v>Dorothy Nelson</v>
      </c>
      <c r="E196" s="34" t="str">
        <v>P002</v>
      </c>
      <c r="F196" s="34" t="str">
        <v>Smartphone</v>
      </c>
      <c r="G196" s="38" t="str">
        <v>Electronics</v>
      </c>
      <c r="H196" s="39">
        <v>4</v>
      </c>
      <c r="I196" s="34">
        <v>699.99</v>
      </c>
      <c r="J196" s="34" t="str">
        <v>Credit Card</v>
      </c>
      <c r="K196" s="34" t="str">
        <v>North</v>
      </c>
      <c r="L196" s="34" t="str">
        <v>Premium</v>
      </c>
      <c r="M196" s="36">
        <v>44703</v>
      </c>
      <c r="N196" s="34">
        <v>2799.96</v>
      </c>
    </row>
    <row r="197" spans="1:14">
      <c r="A197" s="34" t="str">
        <v>TRX0180</v>
      </c>
      <c r="B197" s="36">
        <v>45635</v>
      </c>
      <c r="C197" s="34" t="str">
        <v>CUST036</v>
      </c>
      <c r="D197" s="34" t="str">
        <v>Nancy Collins</v>
      </c>
      <c r="E197" s="34" t="str">
        <v>P009</v>
      </c>
      <c r="F197" s="34" t="str">
        <v>Monitor</v>
      </c>
      <c r="G197" s="38" t="str">
        <v>Electronics</v>
      </c>
      <c r="H197" s="39">
        <v>2</v>
      </c>
      <c r="I197" s="34">
        <v>249.99</v>
      </c>
      <c r="J197" s="34" t="str">
        <v>Credit Card</v>
      </c>
      <c r="K197" s="34" t="str">
        <v>Central</v>
      </c>
      <c r="L197" s="34" t="str">
        <v>Premium</v>
      </c>
      <c r="M197" s="36">
        <v>44396</v>
      </c>
      <c r="N197" s="34">
        <v>499.98</v>
      </c>
    </row>
    <row r="198" spans="1:14">
      <c r="A198" s="34" t="str">
        <v>TRX0082</v>
      </c>
      <c r="B198" s="36">
        <v>45635</v>
      </c>
      <c r="C198" s="34" t="str">
        <v>CUST005</v>
      </c>
      <c r="D198" s="34" t="str">
        <v>James Johnson</v>
      </c>
      <c r="E198" s="34" t="str">
        <v>P005</v>
      </c>
      <c r="F198" s="34" t="str">
        <v>Blender</v>
      </c>
      <c r="G198" s="38" t="str">
        <v>Appliances</v>
      </c>
      <c r="H198" s="39">
        <v>3</v>
      </c>
      <c r="I198" s="34">
        <v>59.99</v>
      </c>
      <c r="J198" s="34" t="str">
        <v>Cash</v>
      </c>
      <c r="K198" s="34" t="str">
        <v>Central</v>
      </c>
      <c r="L198" s="34" t="str">
        <v>Premium</v>
      </c>
      <c r="M198" s="36">
        <v>45052</v>
      </c>
      <c r="N198" s="34">
        <v>179.97</v>
      </c>
    </row>
    <row r="199" spans="1:14">
      <c r="A199" s="34" t="str">
        <v>TRX0224</v>
      </c>
      <c r="B199" s="36">
        <v>45641</v>
      </c>
      <c r="C199" s="34" t="str">
        <v>CUST031</v>
      </c>
      <c r="D199" s="34" t="str">
        <v>Steven Turner</v>
      </c>
      <c r="E199" s="34" t="str">
        <v>P007</v>
      </c>
      <c r="F199" s="34" t="str">
        <v>Desk</v>
      </c>
      <c r="G199" s="38" t="str">
        <v>Furniture</v>
      </c>
      <c r="H199" s="39">
        <v>2</v>
      </c>
      <c r="I199" s="34">
        <v>299.99</v>
      </c>
      <c r="J199" s="34" t="str">
        <v>Cash</v>
      </c>
      <c r="K199" s="34" t="str">
        <v>East</v>
      </c>
      <c r="L199" s="34" t="str">
        <v>Premium</v>
      </c>
      <c r="M199" s="36">
        <v>44724</v>
      </c>
      <c r="N199" s="34">
        <v>599.98</v>
      </c>
    </row>
    <row r="200" spans="1:14">
      <c r="A200" s="34" t="str">
        <v>TRX0164</v>
      </c>
      <c r="B200" s="36">
        <v>45648</v>
      </c>
      <c r="C200" s="34" t="str">
        <v>CUST014</v>
      </c>
      <c r="D200" s="34" t="str">
        <v>Linda Martin</v>
      </c>
      <c r="E200" s="34" t="str">
        <v>P003</v>
      </c>
      <c r="F200" s="34" t="str">
        <v>Headphones</v>
      </c>
      <c r="G200" s="38" t="str">
        <v>Electronics</v>
      </c>
      <c r="H200" s="39">
        <v>2</v>
      </c>
      <c r="I200" s="34">
        <v>149.99</v>
      </c>
      <c r="J200" s="34" t="str">
        <v>Debit Card</v>
      </c>
      <c r="K200" s="34" t="str">
        <v>West</v>
      </c>
      <c r="L200" s="34" t="str">
        <v>Premium</v>
      </c>
      <c r="M200" s="36">
        <v>45280</v>
      </c>
      <c r="N200" s="34">
        <v>299.98</v>
      </c>
    </row>
    <row r="201" spans="1:14">
      <c r="A201" s="34" t="str">
        <v>TRX0156</v>
      </c>
      <c r="B201" s="36">
        <v>45655</v>
      </c>
      <c r="C201" s="34" t="str">
        <v>CUST009</v>
      </c>
      <c r="D201" s="34" t="str">
        <v>Robert Thomas</v>
      </c>
      <c r="E201" s="34" t="str">
        <v>P010</v>
      </c>
      <c r="F201" s="34" t="str">
        <v>Keyboard</v>
      </c>
      <c r="G201" s="38" t="str">
        <v>Electronics</v>
      </c>
      <c r="H201" s="39">
        <v>1</v>
      </c>
      <c r="I201" s="34">
        <v>89.99</v>
      </c>
      <c r="J201" s="34" t="str">
        <v>Credit Card</v>
      </c>
      <c r="K201" s="34" t="str">
        <v>South</v>
      </c>
      <c r="L201" s="34" t="str">
        <v>Premium</v>
      </c>
      <c r="M201" s="36">
        <v>44591</v>
      </c>
      <c r="N201" s="34">
        <v>89.99</v>
      </c>
    </row>
    <row r="202" spans="1:14">
      <c r="A202" s="34" t="str">
        <v>TRX0147</v>
      </c>
      <c r="B202" s="36">
        <v>45655</v>
      </c>
      <c r="C202" s="34" t="str">
        <v>CUST036</v>
      </c>
      <c r="D202" s="34" t="str">
        <v>Nancy Collins</v>
      </c>
      <c r="E202" s="34" t="str">
        <v>P008</v>
      </c>
      <c r="F202" s="34" t="str">
        <v>Bookshelf</v>
      </c>
      <c r="G202" s="38" t="str">
        <v>Furniture</v>
      </c>
      <c r="H202" s="39">
        <v>5</v>
      </c>
      <c r="I202" s="34">
        <v>149.99</v>
      </c>
      <c r="J202" s="34" t="str">
        <v>Cash</v>
      </c>
      <c r="K202" s="34" t="str">
        <v>Central</v>
      </c>
      <c r="L202" s="34" t="str">
        <v>Premium</v>
      </c>
      <c r="M202" s="36">
        <v>45347</v>
      </c>
      <c r="N202" s="34">
        <v>749.95</v>
      </c>
    </row>
    <row r="203" spans="1:14">
      <c r="A203" s="34" t="str">
        <v>TRX0207</v>
      </c>
      <c r="B203" s="36">
        <v>45657</v>
      </c>
      <c r="C203" s="34" t="str">
        <v>CUST025</v>
      </c>
      <c r="D203" s="34" t="str">
        <v>Mark Carter</v>
      </c>
      <c r="E203" s="34" t="str">
        <v>P001</v>
      </c>
      <c r="F203" s="34" t="str">
        <v>Laptop</v>
      </c>
      <c r="G203" s="38" t="str">
        <v>Electronics</v>
      </c>
      <c r="H203" s="39">
        <v>1</v>
      </c>
      <c r="I203" s="34">
        <v>899.99</v>
      </c>
      <c r="J203" s="34" t="str">
        <v>PayPal</v>
      </c>
      <c r="K203" s="34" t="str">
        <v>North</v>
      </c>
      <c r="L203" s="34" t="str">
        <v>Premium</v>
      </c>
      <c r="M203" s="36">
        <v>45050</v>
      </c>
      <c r="N203" s="34">
        <v>899.99</v>
      </c>
    </row>
    <row r="204" spans="1:14">
      <c r="A204" s="34" t="str">
        <v>TRX0056</v>
      </c>
      <c r="B204" s="36">
        <v>45660</v>
      </c>
      <c r="C204" s="34" t="str">
        <v>CUST019</v>
      </c>
      <c r="D204" s="34" t="str">
        <v>Daniel King</v>
      </c>
      <c r="E204" s="34" t="str">
        <v>P010</v>
      </c>
      <c r="F204" s="34" t="str">
        <v>Keyboard</v>
      </c>
      <c r="G204" s="38" t="str">
        <v>Electronics</v>
      </c>
      <c r="H204" s="39">
        <v>2</v>
      </c>
      <c r="I204" s="34">
        <v>89.99</v>
      </c>
      <c r="J204" s="34" t="str">
        <v>Credit Card</v>
      </c>
      <c r="K204" s="34" t="str">
        <v>South</v>
      </c>
      <c r="L204" s="34" t="str">
        <v>Premium</v>
      </c>
      <c r="M204" s="36">
        <v>44564</v>
      </c>
      <c r="N204" s="34">
        <v>179.98</v>
      </c>
    </row>
    <row r="205" spans="1:14">
      <c r="A205" s="34" t="str">
        <v>TRX0237</v>
      </c>
      <c r="B205" s="36">
        <v>45663</v>
      </c>
      <c r="C205" s="34" t="str">
        <v>CUST006</v>
      </c>
      <c r="D205" s="34" t="str">
        <v>Lisa Anderson</v>
      </c>
      <c r="E205" s="34" t="str">
        <v>P003</v>
      </c>
      <c r="F205" s="34" t="str">
        <v>Headphones</v>
      </c>
      <c r="G205" s="38" t="str">
        <v>Electronics</v>
      </c>
      <c r="H205" s="39">
        <v>5</v>
      </c>
      <c r="I205" s="34">
        <v>149.99</v>
      </c>
      <c r="J205" s="34" t="str">
        <v>PayPal</v>
      </c>
      <c r="K205" s="34" t="str">
        <v>East</v>
      </c>
      <c r="L205" s="34" t="str">
        <v>Premium</v>
      </c>
      <c r="M205" s="36">
        <v>44824</v>
      </c>
      <c r="N205" s="34">
        <v>749.95</v>
      </c>
    </row>
    <row r="206" spans="1:14">
      <c r="A206" s="34" t="str">
        <v>TRX0125</v>
      </c>
      <c r="B206" s="36">
        <v>45666</v>
      </c>
      <c r="C206" s="34" t="str">
        <v>CUST026</v>
      </c>
      <c r="D206" s="34" t="str">
        <v>Karen Hill</v>
      </c>
      <c r="E206" s="34" t="str">
        <v>P002</v>
      </c>
      <c r="F206" s="34" t="str">
        <v>Smartphone</v>
      </c>
      <c r="G206" s="38" t="str">
        <v>Electronics</v>
      </c>
      <c r="H206" s="39">
        <v>3</v>
      </c>
      <c r="I206" s="34">
        <v>699.99</v>
      </c>
      <c r="J206" s="34" t="str">
        <v>Credit Card</v>
      </c>
      <c r="K206" s="34" t="str">
        <v>Central</v>
      </c>
      <c r="L206" s="34" t="str">
        <v>Premium</v>
      </c>
      <c r="M206" s="36">
        <v>45105</v>
      </c>
      <c r="N206" s="34">
        <v>2099.9699999999998</v>
      </c>
    </row>
    <row r="207" spans="1:14">
      <c r="A207" s="34" t="str">
        <v>TRX0238</v>
      </c>
      <c r="B207" s="36">
        <v>45668</v>
      </c>
      <c r="C207" s="34" t="str">
        <v>CUST038</v>
      </c>
      <c r="D207" s="34" t="str">
        <v>Michelle Rogers</v>
      </c>
      <c r="E207" s="34" t="str">
        <v>P002</v>
      </c>
      <c r="F207" s="34" t="str">
        <v>Smartphone</v>
      </c>
      <c r="G207" s="38" t="str">
        <v>Electronics</v>
      </c>
      <c r="H207" s="39">
        <v>3</v>
      </c>
      <c r="I207" s="34">
        <v>699.99</v>
      </c>
      <c r="J207" s="34" t="str">
        <v>Cash</v>
      </c>
      <c r="K207" s="34" t="str">
        <v>North</v>
      </c>
      <c r="L207" s="34" t="str">
        <v>Premium</v>
      </c>
      <c r="M207" s="36">
        <v>44602</v>
      </c>
      <c r="N207" s="34">
        <v>2099.9699999999998</v>
      </c>
    </row>
    <row r="208" spans="1:14">
      <c r="A208" s="34" t="str">
        <v>TRX0087</v>
      </c>
      <c r="B208" s="36">
        <v>45671</v>
      </c>
      <c r="C208" s="34" t="str">
        <v>CUST028</v>
      </c>
      <c r="D208" s="34" t="str">
        <v>Betty Campbell</v>
      </c>
      <c r="E208" s="34" t="str">
        <v>P009</v>
      </c>
      <c r="F208" s="34" t="str">
        <v>Monitor</v>
      </c>
      <c r="G208" s="38" t="str">
        <v>Electronics</v>
      </c>
      <c r="H208" s="39">
        <v>4</v>
      </c>
      <c r="I208" s="34">
        <v>249.99</v>
      </c>
      <c r="J208" s="34" t="str">
        <v>Credit Card</v>
      </c>
      <c r="K208" s="34" t="str">
        <v>North</v>
      </c>
      <c r="L208" s="34" t="str">
        <v>Premium</v>
      </c>
      <c r="M208" s="36">
        <v>44460</v>
      </c>
      <c r="N208" s="34">
        <v>999.96</v>
      </c>
    </row>
    <row r="209" spans="1:14">
      <c r="A209" s="34" t="str">
        <v>TRX0159</v>
      </c>
      <c r="B209" s="36">
        <v>45683</v>
      </c>
      <c r="C209" s="34" t="str">
        <v>CUST024</v>
      </c>
      <c r="D209" s="34" t="str">
        <v>Dorothy Nelson</v>
      </c>
      <c r="E209" s="34" t="str">
        <v>P009</v>
      </c>
      <c r="F209" s="34" t="str">
        <v>Monitor</v>
      </c>
      <c r="G209" s="38" t="str">
        <v>Electronics</v>
      </c>
      <c r="H209" s="39">
        <v>4</v>
      </c>
      <c r="I209" s="34">
        <v>249.99</v>
      </c>
      <c r="J209" s="34" t="str">
        <v>Debit Card</v>
      </c>
      <c r="K209" s="34" t="str">
        <v>Central</v>
      </c>
      <c r="L209" s="34" t="str">
        <v>Premium</v>
      </c>
      <c r="M209" s="36">
        <v>45217</v>
      </c>
      <c r="N209" s="34">
        <v>999.96</v>
      </c>
    </row>
    <row r="210" spans="1:14">
      <c r="A210" s="34" t="str">
        <v>TRX0188</v>
      </c>
      <c r="B210" s="36">
        <v>45686</v>
      </c>
      <c r="C210" s="34" t="str">
        <v>CUST045</v>
      </c>
      <c r="D210" s="34" t="str">
        <v>Douglas Watson</v>
      </c>
      <c r="E210" s="34" t="str">
        <v>P002</v>
      </c>
      <c r="F210" s="34" t="str">
        <v>Smartphone</v>
      </c>
      <c r="G210" s="38" t="str">
        <v>Electronics</v>
      </c>
      <c r="H210" s="39">
        <v>2</v>
      </c>
      <c r="I210" s="34">
        <v>699.99</v>
      </c>
      <c r="J210" s="34" t="str">
        <v>Debit Card</v>
      </c>
      <c r="K210" s="34" t="str">
        <v>Central</v>
      </c>
      <c r="L210" s="34" t="str">
        <v>Premium</v>
      </c>
      <c r="M210" s="36">
        <v>44681</v>
      </c>
      <c r="N210" s="34">
        <v>1399.98</v>
      </c>
    </row>
    <row r="211" spans="1:14">
      <c r="A211" s="34" t="str">
        <v>TRX0010</v>
      </c>
      <c r="B211" s="36">
        <v>45688</v>
      </c>
      <c r="C211" s="34" t="str">
        <v>CUST026</v>
      </c>
      <c r="D211" s="34" t="str">
        <v>Karen Hill</v>
      </c>
      <c r="E211" s="34" t="str">
        <v>P002</v>
      </c>
      <c r="F211" s="34" t="str">
        <v>Smartphone</v>
      </c>
      <c r="G211" s="38" t="str">
        <v>Electronics</v>
      </c>
      <c r="H211" s="39">
        <v>4</v>
      </c>
      <c r="I211" s="34">
        <v>699.99</v>
      </c>
      <c r="J211" s="34" t="str">
        <v>Debit Card</v>
      </c>
      <c r="K211" s="34" t="str">
        <v>West</v>
      </c>
      <c r="L211" s="34" t="str">
        <v>Premium</v>
      </c>
      <c r="M211" s="36">
        <v>44692</v>
      </c>
      <c r="N211" s="34">
        <v>2799.96</v>
      </c>
    </row>
    <row r="212" spans="1:14">
      <c r="A212" s="34" t="str">
        <v>TRX0166</v>
      </c>
      <c r="B212" s="36">
        <v>45688</v>
      </c>
      <c r="C212" s="34" t="str">
        <v>CUST003</v>
      </c>
      <c r="D212" s="34" t="str">
        <v>Michael Brown</v>
      </c>
      <c r="E212" s="34" t="str">
        <v>P010</v>
      </c>
      <c r="F212" s="34" t="str">
        <v>Keyboard</v>
      </c>
      <c r="G212" s="38" t="str">
        <v>Electronics</v>
      </c>
      <c r="H212" s="39">
        <v>3</v>
      </c>
      <c r="I212" s="34">
        <v>89.99</v>
      </c>
      <c r="J212" s="34" t="str">
        <v>Debit Card</v>
      </c>
      <c r="K212" s="34" t="str">
        <v>South</v>
      </c>
      <c r="L212" s="34" t="str">
        <v>Premium</v>
      </c>
      <c r="M212" s="36">
        <v>45307</v>
      </c>
      <c r="N212" s="34">
        <v>269.97000000000003</v>
      </c>
    </row>
    <row r="213" spans="1:14">
      <c r="A213" s="34" t="str">
        <v>TRX0024</v>
      </c>
      <c r="B213" s="36">
        <v>45695</v>
      </c>
      <c r="C213" s="34" t="str">
        <v>CUST042</v>
      </c>
      <c r="D213" s="34" t="str">
        <v>Ruth Brooks</v>
      </c>
      <c r="E213" s="34" t="str">
        <v>P008</v>
      </c>
      <c r="F213" s="34" t="str">
        <v>Bookshelf</v>
      </c>
      <c r="G213" s="38" t="str">
        <v>Furniture</v>
      </c>
      <c r="H213" s="39">
        <v>3</v>
      </c>
      <c r="I213" s="34">
        <v>149.99</v>
      </c>
      <c r="J213" s="34" t="str">
        <v>Debit Card</v>
      </c>
      <c r="K213" s="34" t="str">
        <v>North</v>
      </c>
      <c r="L213" s="34" t="str">
        <v>Premium</v>
      </c>
      <c r="M213" s="36">
        <v>44564</v>
      </c>
      <c r="N213" s="34">
        <v>449.97</v>
      </c>
    </row>
    <row r="214" spans="1:14">
      <c r="A214" s="34" t="str">
        <v>TRX0187</v>
      </c>
      <c r="B214" s="36">
        <v>45701</v>
      </c>
      <c r="C214" s="34" t="str">
        <v>CUST036</v>
      </c>
      <c r="D214" s="34" t="str">
        <v>Nancy Collins</v>
      </c>
      <c r="E214" s="34" t="str">
        <v>P004</v>
      </c>
      <c r="F214" s="34" t="str">
        <v>Coffee Maker</v>
      </c>
      <c r="G214" s="38" t="str">
        <v>Appliances</v>
      </c>
      <c r="H214" s="39">
        <v>3</v>
      </c>
      <c r="I214" s="34">
        <v>79.989999999999995</v>
      </c>
      <c r="J214" s="34" t="str">
        <v>Cash</v>
      </c>
      <c r="K214" s="34" t="str">
        <v>East</v>
      </c>
      <c r="L214" s="34" t="str">
        <v>Premium</v>
      </c>
      <c r="M214" s="36">
        <v>44436</v>
      </c>
      <c r="N214" s="34">
        <v>239.97</v>
      </c>
    </row>
    <row r="215" spans="1:14">
      <c r="A215" s="34" t="str">
        <v>TRX0118</v>
      </c>
      <c r="B215" s="36">
        <v>45705</v>
      </c>
      <c r="C215" s="34" t="str">
        <v>CUST015</v>
      </c>
      <c r="D215" s="34" t="str">
        <v>Richard Lee</v>
      </c>
      <c r="E215" s="34" t="str">
        <v>P008</v>
      </c>
      <c r="F215" s="34" t="str">
        <v>Bookshelf</v>
      </c>
      <c r="G215" s="38" t="str">
        <v>Furniture</v>
      </c>
      <c r="H215" s="39">
        <v>2</v>
      </c>
      <c r="I215" s="34">
        <v>149.99</v>
      </c>
      <c r="J215" s="34" t="str">
        <v>Cash</v>
      </c>
      <c r="K215" s="34" t="str">
        <v>South</v>
      </c>
      <c r="L215" s="34" t="str">
        <v>Premium</v>
      </c>
      <c r="M215" s="36">
        <v>44728</v>
      </c>
      <c r="N215" s="34">
        <v>299.98</v>
      </c>
    </row>
    <row r="216" spans="1:14">
      <c r="A216" s="34" t="str">
        <v>TRX0179</v>
      </c>
      <c r="B216" s="36">
        <v>45707</v>
      </c>
      <c r="C216" s="34" t="str">
        <v>CUST029</v>
      </c>
      <c r="D216" s="34" t="str">
        <v>Edward Mitchell</v>
      </c>
      <c r="E216" s="34" t="str">
        <v>P002</v>
      </c>
      <c r="F216" s="34" t="str">
        <v>Smartphone</v>
      </c>
      <c r="G216" s="38" t="str">
        <v>Electronics</v>
      </c>
      <c r="H216" s="39">
        <v>5</v>
      </c>
      <c r="I216" s="34">
        <v>699.99</v>
      </c>
      <c r="J216" s="34" t="str">
        <v>PayPal</v>
      </c>
      <c r="K216" s="34" t="str">
        <v>South</v>
      </c>
      <c r="L216" s="34" t="str">
        <v>Premium</v>
      </c>
      <c r="M216" s="36">
        <v>45352</v>
      </c>
      <c r="N216" s="34">
        <v>3499.95</v>
      </c>
    </row>
    <row r="217" spans="1:14">
      <c r="A217" s="34" t="str">
        <v>TRX0221</v>
      </c>
      <c r="B217" s="36">
        <v>45708</v>
      </c>
      <c r="C217" s="34" t="str">
        <v>CUST033</v>
      </c>
      <c r="D217" s="34" t="str">
        <v>Frank Torres</v>
      </c>
      <c r="E217" s="34" t="str">
        <v>P006</v>
      </c>
      <c r="F217" s="34" t="str">
        <v>Office Chair</v>
      </c>
      <c r="G217" s="38" t="str">
        <v>Furniture</v>
      </c>
      <c r="H217" s="39">
        <v>3</v>
      </c>
      <c r="I217" s="34">
        <v>199.99</v>
      </c>
      <c r="J217" s="34" t="str">
        <v>Cash</v>
      </c>
      <c r="K217" s="34" t="str">
        <v>West</v>
      </c>
      <c r="L217" s="34" t="str">
        <v>Premium</v>
      </c>
      <c r="M217" s="36">
        <v>44823</v>
      </c>
      <c r="N217" s="34">
        <v>599.97</v>
      </c>
    </row>
    <row r="218" spans="1:14">
      <c r="A218" s="34" t="str">
        <v>TRX0047</v>
      </c>
      <c r="B218" s="36">
        <v>45711</v>
      </c>
      <c r="C218" s="34" t="str">
        <v>CUST042</v>
      </c>
      <c r="D218" s="34" t="str">
        <v>Ruth Brooks</v>
      </c>
      <c r="E218" s="34" t="str">
        <v>P002</v>
      </c>
      <c r="F218" s="34" t="str">
        <v>Smartphone</v>
      </c>
      <c r="G218" s="38" t="str">
        <v>Electronics</v>
      </c>
      <c r="H218" s="39">
        <v>1</v>
      </c>
      <c r="I218" s="34">
        <v>699.99</v>
      </c>
      <c r="J218" s="34" t="str">
        <v>Cash</v>
      </c>
      <c r="K218" s="34" t="str">
        <v>North</v>
      </c>
      <c r="L218" s="34" t="str">
        <v>Premium</v>
      </c>
      <c r="M218" s="36">
        <v>44583</v>
      </c>
      <c r="N218" s="34">
        <v>699.99</v>
      </c>
    </row>
    <row r="219" spans="1:14">
      <c r="A219" s="34" t="str">
        <v>TRX0200</v>
      </c>
      <c r="B219" s="36">
        <v>45711</v>
      </c>
      <c r="C219" s="34" t="str">
        <v>CUST037</v>
      </c>
      <c r="D219" s="34" t="str">
        <v>Arthur Edwards</v>
      </c>
      <c r="E219" s="34" t="str">
        <v>P008</v>
      </c>
      <c r="F219" s="34" t="str">
        <v>Bookshelf</v>
      </c>
      <c r="G219" s="38" t="str">
        <v>Furniture</v>
      </c>
      <c r="H219" s="39">
        <v>4</v>
      </c>
      <c r="I219" s="34">
        <v>149.99</v>
      </c>
      <c r="J219" s="34" t="str">
        <v>PayPal</v>
      </c>
      <c r="K219" s="34" t="str">
        <v>North</v>
      </c>
      <c r="L219" s="34" t="str">
        <v>Premium</v>
      </c>
      <c r="M219" s="36">
        <v>44412</v>
      </c>
      <c r="N219" s="34">
        <v>599.96</v>
      </c>
    </row>
    <row r="220" spans="1:14">
      <c r="A220" s="34" t="str">
        <v>TRX0062</v>
      </c>
      <c r="B220" s="36">
        <v>45711</v>
      </c>
      <c r="C220" s="34" t="str">
        <v>CUST016</v>
      </c>
      <c r="D220" s="34" t="str">
        <v>Elizabeth Hall</v>
      </c>
      <c r="E220" s="34" t="str">
        <v>P010</v>
      </c>
      <c r="F220" s="34" t="str">
        <v>Keyboard</v>
      </c>
      <c r="G220" s="38" t="str">
        <v>Electronics</v>
      </c>
      <c r="H220" s="39">
        <v>5</v>
      </c>
      <c r="I220" s="34">
        <v>89.99</v>
      </c>
      <c r="J220" s="34" t="str">
        <v>PayPal</v>
      </c>
      <c r="K220" s="34" t="str">
        <v>West</v>
      </c>
      <c r="L220" s="34" t="str">
        <v>Premium</v>
      </c>
      <c r="M220" s="36">
        <v>45140</v>
      </c>
      <c r="N220" s="34">
        <v>449.95</v>
      </c>
    </row>
    <row r="221" spans="1:14">
      <c r="A221" s="34" t="str">
        <v>TRX0182</v>
      </c>
      <c r="B221" s="36">
        <v>45712</v>
      </c>
      <c r="C221" s="34" t="str">
        <v>CUST031</v>
      </c>
      <c r="D221" s="34" t="str">
        <v>Steven Turner</v>
      </c>
      <c r="E221" s="34" t="str">
        <v>P006</v>
      </c>
      <c r="F221" s="34" t="str">
        <v>Office Chair</v>
      </c>
      <c r="G221" s="38" t="str">
        <v>Furniture</v>
      </c>
      <c r="H221" s="39">
        <v>2</v>
      </c>
      <c r="I221" s="34">
        <v>199.99</v>
      </c>
      <c r="J221" s="34" t="str">
        <v>Cash</v>
      </c>
      <c r="K221" s="34" t="str">
        <v>Central</v>
      </c>
      <c r="L221" s="34" t="str">
        <v>Premium</v>
      </c>
      <c r="M221" s="36">
        <v>44573</v>
      </c>
      <c r="N221" s="34">
        <v>399.98</v>
      </c>
    </row>
    <row r="222" spans="1:14">
      <c r="A222" s="34" t="str">
        <v>TRX0226</v>
      </c>
      <c r="B222" s="36">
        <v>45720</v>
      </c>
      <c r="C222" s="34" t="str">
        <v>CUST039</v>
      </c>
      <c r="D222" s="34" t="str">
        <v>Lawrence Reed</v>
      </c>
      <c r="E222" s="34" t="str">
        <v>P002</v>
      </c>
      <c r="F222" s="34" t="str">
        <v>Smartphone</v>
      </c>
      <c r="G222" s="38" t="str">
        <v>Electronics</v>
      </c>
      <c r="H222" s="39">
        <v>5</v>
      </c>
      <c r="I222" s="34">
        <v>699.99</v>
      </c>
      <c r="J222" s="34" t="str">
        <v>Debit Card</v>
      </c>
      <c r="K222" s="34" t="str">
        <v>East</v>
      </c>
      <c r="L222" s="34" t="str">
        <v>Premium</v>
      </c>
      <c r="M222" s="36">
        <v>45161</v>
      </c>
      <c r="N222" s="34">
        <v>3499.95</v>
      </c>
    </row>
    <row r="223" spans="1:14">
      <c r="A223" s="34" t="str">
        <v>TRX0053</v>
      </c>
      <c r="B223" s="36">
        <v>45721</v>
      </c>
      <c r="C223" s="34" t="str">
        <v>CUST043</v>
      </c>
      <c r="D223" s="34" t="str">
        <v>Dennis Gray</v>
      </c>
      <c r="E223" s="34" t="str">
        <v>P005</v>
      </c>
      <c r="F223" s="34" t="str">
        <v>Blender</v>
      </c>
      <c r="G223" s="38" t="str">
        <v>Appliances</v>
      </c>
      <c r="H223" s="39">
        <v>5</v>
      </c>
      <c r="I223" s="34">
        <v>59.99</v>
      </c>
      <c r="J223" s="34" t="str">
        <v>Cash</v>
      </c>
      <c r="K223" s="34" t="str">
        <v>West</v>
      </c>
      <c r="L223" s="34" t="str">
        <v>Premium</v>
      </c>
      <c r="M223" s="36">
        <v>45291</v>
      </c>
      <c r="N223" s="34">
        <v>299.95</v>
      </c>
    </row>
    <row r="224" spans="1:14">
      <c r="A224" s="34" t="str">
        <v>TRX0233</v>
      </c>
      <c r="B224" s="36">
        <v>45723</v>
      </c>
      <c r="C224" s="34" t="str">
        <v>CUST023</v>
      </c>
      <c r="D224" s="34" t="str">
        <v>Paul Baker</v>
      </c>
      <c r="E224" s="34" t="str">
        <v>P010</v>
      </c>
      <c r="F224" s="34" t="str">
        <v>Keyboard</v>
      </c>
      <c r="G224" s="38" t="str">
        <v>Electronics</v>
      </c>
      <c r="H224" s="39">
        <v>2</v>
      </c>
      <c r="I224" s="34">
        <v>89.99</v>
      </c>
      <c r="J224" s="34" t="str">
        <v>Credit Card</v>
      </c>
      <c r="K224" s="34" t="str">
        <v>West</v>
      </c>
      <c r="L224" s="34" t="str">
        <v>Premium</v>
      </c>
      <c r="M224" s="36">
        <v>45295</v>
      </c>
      <c r="N224" s="34">
        <v>179.98</v>
      </c>
    </row>
    <row r="225" spans="1:14">
      <c r="A225" s="34" t="str">
        <v>TRX0186</v>
      </c>
      <c r="B225" s="36">
        <v>45724</v>
      </c>
      <c r="C225" s="34" t="str">
        <v>CUST039</v>
      </c>
      <c r="D225" s="34" t="str">
        <v>Lawrence Reed</v>
      </c>
      <c r="E225" s="34" t="str">
        <v>P008</v>
      </c>
      <c r="F225" s="34" t="str">
        <v>Bookshelf</v>
      </c>
      <c r="G225" s="38" t="str">
        <v>Furniture</v>
      </c>
      <c r="H225" s="39">
        <v>2</v>
      </c>
      <c r="I225" s="34">
        <v>149.99</v>
      </c>
      <c r="J225" s="34" t="str">
        <v>PayPal</v>
      </c>
      <c r="K225" s="34" t="str">
        <v>Central</v>
      </c>
      <c r="L225" s="34" t="str">
        <v>Premium</v>
      </c>
      <c r="M225" s="36">
        <v>44632</v>
      </c>
      <c r="N225" s="34">
        <v>299.98</v>
      </c>
    </row>
    <row r="226" spans="1:14">
      <c r="A226" s="34" t="str">
        <v>TRX0016</v>
      </c>
      <c r="B226" s="36">
        <v>45724</v>
      </c>
      <c r="C226" s="34" t="str">
        <v>CUST035</v>
      </c>
      <c r="D226" s="34" t="str">
        <v>Harry Morgan</v>
      </c>
      <c r="E226" s="34" t="str">
        <v>P001</v>
      </c>
      <c r="F226" s="34" t="str">
        <v>Laptop</v>
      </c>
      <c r="G226" s="38" t="str">
        <v>Electronics</v>
      </c>
      <c r="H226" s="39">
        <v>5</v>
      </c>
      <c r="I226" s="34">
        <v>899.99</v>
      </c>
      <c r="J226" s="34" t="str">
        <v>PayPal</v>
      </c>
      <c r="K226" s="34" t="str">
        <v>East</v>
      </c>
      <c r="L226" s="34" t="str">
        <v>Premium</v>
      </c>
      <c r="M226" s="36">
        <v>45389</v>
      </c>
      <c r="N226" s="34">
        <v>4499.95</v>
      </c>
    </row>
    <row r="227" spans="1:14">
      <c r="A227" s="34" t="str">
        <v>TRX0003</v>
      </c>
      <c r="B227" s="36">
        <v>45737</v>
      </c>
      <c r="C227" s="34" t="str">
        <v>CUST002</v>
      </c>
      <c r="D227" s="34" t="str">
        <v>Emma Wilson</v>
      </c>
      <c r="E227" s="34" t="str">
        <v>P008</v>
      </c>
      <c r="F227" s="34" t="str">
        <v>Bookshelf</v>
      </c>
      <c r="G227" s="38" t="str">
        <v>Furniture</v>
      </c>
      <c r="H227" s="39">
        <v>2</v>
      </c>
      <c r="I227" s="34">
        <v>149.99</v>
      </c>
      <c r="J227" s="34" t="str">
        <v>Cash</v>
      </c>
      <c r="K227" s="34" t="str">
        <v>West</v>
      </c>
      <c r="L227" s="34" t="str">
        <v>Premium</v>
      </c>
      <c r="M227" s="36">
        <v>45233</v>
      </c>
      <c r="N227" s="34">
        <v>299.98</v>
      </c>
    </row>
    <row r="228" spans="1:14">
      <c r="A228" s="34" t="str">
        <v>TRX0124</v>
      </c>
      <c r="B228" s="36">
        <v>45737</v>
      </c>
      <c r="C228" s="34" t="str">
        <v>CUST040</v>
      </c>
      <c r="D228" s="34" t="str">
        <v>Sharon Butler</v>
      </c>
      <c r="E228" s="34" t="str">
        <v>P001</v>
      </c>
      <c r="F228" s="34" t="str">
        <v>Laptop</v>
      </c>
      <c r="G228" s="38" t="str">
        <v>Electronics</v>
      </c>
      <c r="H228" s="39">
        <v>3</v>
      </c>
      <c r="I228" s="34">
        <v>899.99</v>
      </c>
      <c r="J228" s="34" t="str">
        <v>Debit Card</v>
      </c>
      <c r="K228" s="34" t="str">
        <v>North</v>
      </c>
      <c r="L228" s="34" t="str">
        <v>Premium</v>
      </c>
      <c r="M228" s="36">
        <v>44876</v>
      </c>
      <c r="N228" s="34">
        <v>2699.97</v>
      </c>
    </row>
    <row r="229" spans="1:14">
      <c r="A229" s="34" t="str">
        <v>TRX0019</v>
      </c>
      <c r="B229" s="36">
        <v>45739</v>
      </c>
      <c r="C229" s="34" t="str">
        <v>CUST023</v>
      </c>
      <c r="D229" s="34" t="str">
        <v>Paul Baker</v>
      </c>
      <c r="E229" s="34" t="str">
        <v>P007</v>
      </c>
      <c r="F229" s="34" t="str">
        <v>Desk</v>
      </c>
      <c r="G229" s="38" t="str">
        <v>Furniture</v>
      </c>
      <c r="H229" s="39">
        <v>3</v>
      </c>
      <c r="I229" s="34">
        <v>299.99</v>
      </c>
      <c r="J229" s="34" t="str">
        <v>Credit Card</v>
      </c>
      <c r="K229" s="34" t="str">
        <v>West</v>
      </c>
      <c r="L229" s="34" t="str">
        <v>Premium</v>
      </c>
      <c r="M229" s="36">
        <v>45234</v>
      </c>
      <c r="N229" s="34">
        <v>899.97</v>
      </c>
    </row>
    <row r="230" spans="1:14">
      <c r="A230" s="34" t="str">
        <v>TRX0250</v>
      </c>
      <c r="B230" s="36">
        <v>45746</v>
      </c>
      <c r="C230" s="34" t="str">
        <v>CUST026</v>
      </c>
      <c r="D230" s="34" t="str">
        <v>Karen Hill</v>
      </c>
      <c r="E230" s="34" t="str">
        <v>P010</v>
      </c>
      <c r="F230" s="34" t="str">
        <v>Keyboard</v>
      </c>
      <c r="G230" s="38" t="str">
        <v>Electronics</v>
      </c>
      <c r="H230" s="39">
        <v>2</v>
      </c>
      <c r="I230" s="34">
        <v>89.99</v>
      </c>
      <c r="J230" s="34" t="str">
        <v>Debit Card</v>
      </c>
      <c r="K230" s="34" t="str">
        <v>West</v>
      </c>
      <c r="L230" s="34" t="str">
        <v>Premium</v>
      </c>
      <c r="M230" s="36">
        <v>44522</v>
      </c>
      <c r="N230" s="34">
        <v>179.98</v>
      </c>
    </row>
    <row r="231" spans="1:14">
      <c r="A231" s="34" t="str">
        <v>TRX0064</v>
      </c>
      <c r="B231" s="36">
        <v>45758</v>
      </c>
      <c r="C231" s="34" t="str">
        <v>CUST031</v>
      </c>
      <c r="D231" s="34" t="str">
        <v>Steven Turner</v>
      </c>
      <c r="E231" s="34" t="str">
        <v>P010</v>
      </c>
      <c r="F231" s="34" t="str">
        <v>Keyboard</v>
      </c>
      <c r="G231" s="38" t="str">
        <v>Electronics</v>
      </c>
      <c r="H231" s="39">
        <v>3</v>
      </c>
      <c r="I231" s="34">
        <v>89.99</v>
      </c>
      <c r="J231" s="34" t="str">
        <v>Debit Card</v>
      </c>
      <c r="K231" s="34" t="str">
        <v>North</v>
      </c>
      <c r="L231" s="34" t="str">
        <v>Premium</v>
      </c>
      <c r="M231" s="36">
        <v>44878</v>
      </c>
      <c r="N231" s="34">
        <v>269.97000000000003</v>
      </c>
    </row>
  </sheetData>
  <mergeCells count="2">
    <mergeCell ref="D2:G2"/>
    <mergeCell ref="D136:F13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BDB6A-87EA-4E8B-B3AE-753A529E31AC}">
  <dimension ref="A1:S251"/>
  <sheetViews>
    <sheetView view="pageBreakPreview" zoomScale="60" zoomScaleNormal="119" workbookViewId="0"/>
  </sheetViews>
  <sheetFormatPr defaultRowHeight="14.4"/>
  <cols>
    <col min="1" max="1" width="25.77734375" customWidth="1"/>
    <col min="2" max="2" width="20.21875" customWidth="1"/>
    <col min="3" max="3" width="20.88671875" customWidth="1"/>
    <col min="4" max="4" width="25.5546875" customWidth="1"/>
    <col min="5" max="5" width="20.88671875" customWidth="1"/>
    <col min="6" max="6" width="23.44140625" customWidth="1"/>
    <col min="7" max="7" width="17.88671875" customWidth="1"/>
    <col min="8" max="8" width="19.5546875" style="9" customWidth="1"/>
    <col min="9" max="9" width="19" style="8" customWidth="1"/>
    <col min="10" max="11" width="25.6640625" customWidth="1"/>
    <col min="12" max="12" width="27.6640625" customWidth="1"/>
    <col min="13" max="13" width="23" customWidth="1"/>
    <col min="14" max="14" width="23.109375" style="8" customWidth="1"/>
    <col min="17" max="17" width="20.109375" customWidth="1"/>
    <col min="18" max="18" width="54.6640625" customWidth="1"/>
    <col min="19" max="19" width="26" customWidth="1"/>
  </cols>
  <sheetData>
    <row r="1" spans="1:19" ht="15.6">
      <c r="A1" s="45" t="s">
        <v>1</v>
      </c>
      <c r="B1" s="46" t="s">
        <v>2</v>
      </c>
      <c r="C1" s="47" t="s">
        <v>3</v>
      </c>
      <c r="D1" s="47" t="s">
        <v>4</v>
      </c>
      <c r="E1" s="47" t="s">
        <v>5</v>
      </c>
      <c r="F1" s="47" t="s">
        <v>6</v>
      </c>
      <c r="G1" s="46" t="s">
        <v>7</v>
      </c>
      <c r="H1" s="48" t="s">
        <v>8</v>
      </c>
      <c r="I1" s="49" t="s">
        <v>9</v>
      </c>
      <c r="J1" s="47" t="s">
        <v>10</v>
      </c>
      <c r="K1" s="47" t="s">
        <v>11</v>
      </c>
      <c r="L1" s="47" t="s">
        <v>12</v>
      </c>
      <c r="M1" s="46" t="s">
        <v>13</v>
      </c>
      <c r="N1" s="63" t="s">
        <v>14</v>
      </c>
    </row>
    <row r="2" spans="1:19">
      <c r="A2" s="66" t="s">
        <v>15</v>
      </c>
      <c r="B2" s="57">
        <v>45393</v>
      </c>
      <c r="C2" s="69" t="s">
        <v>16</v>
      </c>
      <c r="D2" s="69" t="s">
        <v>17</v>
      </c>
      <c r="E2" s="69" t="s">
        <v>18</v>
      </c>
      <c r="F2" s="69" t="s">
        <v>19</v>
      </c>
      <c r="G2" s="69" t="s">
        <v>20</v>
      </c>
      <c r="H2" s="58">
        <v>3</v>
      </c>
      <c r="I2" s="59">
        <v>249.99</v>
      </c>
      <c r="J2" s="69" t="s">
        <v>21</v>
      </c>
      <c r="K2" s="69" t="s">
        <v>22</v>
      </c>
      <c r="L2" s="69" t="s">
        <v>23</v>
      </c>
      <c r="M2" s="57">
        <v>44425</v>
      </c>
      <c r="N2" s="64">
        <v>749.97</v>
      </c>
    </row>
    <row r="3" spans="1:19">
      <c r="A3" s="67" t="s">
        <v>24</v>
      </c>
      <c r="B3" s="57">
        <v>45396</v>
      </c>
      <c r="C3" s="69" t="s">
        <v>25</v>
      </c>
      <c r="D3" s="69" t="s">
        <v>26</v>
      </c>
      <c r="E3" s="69" t="s">
        <v>18</v>
      </c>
      <c r="F3" s="69" t="s">
        <v>19</v>
      </c>
      <c r="G3" s="69" t="s">
        <v>20</v>
      </c>
      <c r="H3" s="58">
        <v>3</v>
      </c>
      <c r="I3" s="59">
        <v>249.99</v>
      </c>
      <c r="J3" s="69" t="s">
        <v>27</v>
      </c>
      <c r="K3" s="69" t="s">
        <v>22</v>
      </c>
      <c r="L3" s="69" t="s">
        <v>28</v>
      </c>
      <c r="M3" s="57">
        <v>44575</v>
      </c>
      <c r="N3" s="64">
        <v>749.97</v>
      </c>
      <c r="Q3" s="82" t="s">
        <v>453</v>
      </c>
      <c r="R3" s="83" t="s">
        <v>454</v>
      </c>
      <c r="S3" s="82" t="s">
        <v>473</v>
      </c>
    </row>
    <row r="4" spans="1:19">
      <c r="A4" s="67" t="s">
        <v>29</v>
      </c>
      <c r="B4" s="57">
        <v>45399</v>
      </c>
      <c r="C4" s="69" t="s">
        <v>30</v>
      </c>
      <c r="D4" s="69" t="s">
        <v>31</v>
      </c>
      <c r="E4" s="69" t="s">
        <v>32</v>
      </c>
      <c r="F4" s="69" t="s">
        <v>33</v>
      </c>
      <c r="G4" s="69" t="s">
        <v>34</v>
      </c>
      <c r="H4" s="58">
        <v>3</v>
      </c>
      <c r="I4" s="59">
        <v>59.99</v>
      </c>
      <c r="J4" s="69" t="s">
        <v>35</v>
      </c>
      <c r="K4" s="69" t="s">
        <v>36</v>
      </c>
      <c r="L4" s="69" t="s">
        <v>37</v>
      </c>
      <c r="M4" s="57">
        <v>45262</v>
      </c>
      <c r="N4" s="64">
        <v>179.97</v>
      </c>
      <c r="Q4" s="77" t="s">
        <v>455</v>
      </c>
      <c r="R4" s="75" t="s">
        <v>456</v>
      </c>
      <c r="S4" s="76" t="s">
        <v>457</v>
      </c>
    </row>
    <row r="5" spans="1:19">
      <c r="A5" s="67" t="s">
        <v>38</v>
      </c>
      <c r="B5" s="57">
        <v>45400</v>
      </c>
      <c r="C5" s="69" t="s">
        <v>39</v>
      </c>
      <c r="D5" s="69" t="s">
        <v>40</v>
      </c>
      <c r="E5" s="69" t="s">
        <v>32</v>
      </c>
      <c r="F5" s="69" t="s">
        <v>33</v>
      </c>
      <c r="G5" s="69" t="s">
        <v>34</v>
      </c>
      <c r="H5" s="58">
        <v>3</v>
      </c>
      <c r="I5" s="59">
        <v>59.99</v>
      </c>
      <c r="J5" s="69" t="s">
        <v>21</v>
      </c>
      <c r="K5" s="69" t="s">
        <v>41</v>
      </c>
      <c r="L5" s="69" t="s">
        <v>28</v>
      </c>
      <c r="M5" s="57">
        <v>45114</v>
      </c>
      <c r="N5" s="64">
        <v>179.97</v>
      </c>
      <c r="Q5" s="78" t="s">
        <v>471</v>
      </c>
      <c r="R5" s="76" t="s">
        <v>458</v>
      </c>
      <c r="S5" s="76" t="s">
        <v>466</v>
      </c>
    </row>
    <row r="6" spans="1:19">
      <c r="A6" s="67" t="s">
        <v>42</v>
      </c>
      <c r="B6" s="57">
        <v>45400</v>
      </c>
      <c r="C6" s="69" t="s">
        <v>43</v>
      </c>
      <c r="D6" s="69" t="s">
        <v>44</v>
      </c>
      <c r="E6" s="69" t="s">
        <v>45</v>
      </c>
      <c r="F6" s="69" t="s">
        <v>46</v>
      </c>
      <c r="G6" s="69" t="s">
        <v>47</v>
      </c>
      <c r="H6" s="58">
        <v>5</v>
      </c>
      <c r="I6" s="59">
        <v>149.99</v>
      </c>
      <c r="J6" s="69" t="s">
        <v>27</v>
      </c>
      <c r="K6" s="69" t="s">
        <v>41</v>
      </c>
      <c r="L6" s="69" t="s">
        <v>28</v>
      </c>
      <c r="M6" s="57">
        <v>45295</v>
      </c>
      <c r="N6" s="64">
        <v>749.95</v>
      </c>
      <c r="Q6" s="79" t="s">
        <v>459</v>
      </c>
      <c r="R6" s="76" t="s">
        <v>460</v>
      </c>
      <c r="S6" s="76" t="s">
        <v>467</v>
      </c>
    </row>
    <row r="7" spans="1:19">
      <c r="A7" s="67" t="s">
        <v>48</v>
      </c>
      <c r="B7" s="57">
        <v>45403</v>
      </c>
      <c r="C7" s="69" t="s">
        <v>49</v>
      </c>
      <c r="D7" s="69" t="s">
        <v>50</v>
      </c>
      <c r="E7" s="69" t="s">
        <v>32</v>
      </c>
      <c r="F7" s="72" t="s">
        <v>33</v>
      </c>
      <c r="G7" s="69" t="s">
        <v>34</v>
      </c>
      <c r="H7" s="58">
        <v>2</v>
      </c>
      <c r="I7" s="59">
        <v>59.99</v>
      </c>
      <c r="J7" s="69" t="s">
        <v>21</v>
      </c>
      <c r="K7" s="69" t="s">
        <v>51</v>
      </c>
      <c r="L7" s="69" t="s">
        <v>37</v>
      </c>
      <c r="M7" s="57">
        <v>44746</v>
      </c>
      <c r="N7" s="64">
        <v>119.98</v>
      </c>
      <c r="Q7" s="80" t="s">
        <v>461</v>
      </c>
      <c r="R7" s="76" t="s">
        <v>462</v>
      </c>
      <c r="S7" s="76" t="s">
        <v>468</v>
      </c>
    </row>
    <row r="8" spans="1:19">
      <c r="A8" s="67" t="s">
        <v>52</v>
      </c>
      <c r="B8" s="57">
        <v>45403</v>
      </c>
      <c r="C8" s="69" t="s">
        <v>49</v>
      </c>
      <c r="D8" s="69" t="s">
        <v>50</v>
      </c>
      <c r="E8" s="69" t="s">
        <v>53</v>
      </c>
      <c r="F8" s="69" t="s">
        <v>54</v>
      </c>
      <c r="G8" s="69" t="s">
        <v>20</v>
      </c>
      <c r="H8" s="58">
        <v>5</v>
      </c>
      <c r="I8" s="59">
        <v>149.99</v>
      </c>
      <c r="J8" s="69" t="s">
        <v>27</v>
      </c>
      <c r="K8" s="69" t="s">
        <v>22</v>
      </c>
      <c r="L8" s="69" t="s">
        <v>37</v>
      </c>
      <c r="M8" s="57">
        <v>44418</v>
      </c>
      <c r="N8" s="64">
        <v>749.95</v>
      </c>
      <c r="Q8" s="81" t="s">
        <v>472</v>
      </c>
      <c r="R8" s="76" t="s">
        <v>463</v>
      </c>
      <c r="S8" s="76" t="s">
        <v>469</v>
      </c>
    </row>
    <row r="9" spans="1:19">
      <c r="A9" s="67" t="s">
        <v>55</v>
      </c>
      <c r="B9" s="57">
        <v>45403</v>
      </c>
      <c r="C9" s="69" t="s">
        <v>56</v>
      </c>
      <c r="D9" s="69" t="s">
        <v>57</v>
      </c>
      <c r="E9" s="69" t="s">
        <v>32</v>
      </c>
      <c r="F9" s="69" t="s">
        <v>33</v>
      </c>
      <c r="G9" s="69" t="s">
        <v>34</v>
      </c>
      <c r="H9" s="58">
        <v>3</v>
      </c>
      <c r="I9" s="59">
        <v>59.99</v>
      </c>
      <c r="J9" s="69" t="s">
        <v>58</v>
      </c>
      <c r="K9" s="69" t="s">
        <v>36</v>
      </c>
      <c r="L9" s="69" t="s">
        <v>23</v>
      </c>
      <c r="M9" s="57">
        <v>45007</v>
      </c>
      <c r="N9" s="64">
        <v>179.97</v>
      </c>
      <c r="Q9" s="76" t="s">
        <v>464</v>
      </c>
      <c r="R9" s="76" t="s">
        <v>465</v>
      </c>
      <c r="S9" s="76" t="s">
        <v>470</v>
      </c>
    </row>
    <row r="10" spans="1:19">
      <c r="A10" s="67" t="s">
        <v>59</v>
      </c>
      <c r="B10" s="57">
        <v>45405</v>
      </c>
      <c r="C10" s="69" t="s">
        <v>60</v>
      </c>
      <c r="D10" s="69" t="s">
        <v>61</v>
      </c>
      <c r="E10" s="69" t="s">
        <v>62</v>
      </c>
      <c r="F10" s="69" t="s">
        <v>63</v>
      </c>
      <c r="G10" s="69" t="s">
        <v>20</v>
      </c>
      <c r="H10" s="58" t="s">
        <v>452</v>
      </c>
      <c r="I10" s="59">
        <v>899.99</v>
      </c>
      <c r="J10" s="69" t="s">
        <v>35</v>
      </c>
      <c r="K10" s="69" t="s">
        <v>64</v>
      </c>
      <c r="L10" s="69" t="s">
        <v>37</v>
      </c>
      <c r="M10" s="57">
        <v>45299</v>
      </c>
      <c r="N10" s="64">
        <v>2699.97</v>
      </c>
    </row>
    <row r="11" spans="1:19">
      <c r="A11" s="67" t="s">
        <v>65</v>
      </c>
      <c r="B11" s="57">
        <v>45408</v>
      </c>
      <c r="C11" s="69" t="s">
        <v>66</v>
      </c>
      <c r="D11" s="69" t="s">
        <v>67</v>
      </c>
      <c r="E11" s="69" t="s">
        <v>32</v>
      </c>
      <c r="F11" s="69" t="s">
        <v>33</v>
      </c>
      <c r="G11" s="69" t="s">
        <v>34</v>
      </c>
      <c r="H11" s="58">
        <v>3</v>
      </c>
      <c r="I11" s="59">
        <v>59.99</v>
      </c>
      <c r="J11" s="69" t="s">
        <v>21</v>
      </c>
      <c r="K11" s="69" t="s">
        <v>51</v>
      </c>
      <c r="L11" s="69" t="s">
        <v>28</v>
      </c>
      <c r="M11" s="57">
        <v>45207</v>
      </c>
      <c r="N11" s="64">
        <v>179.97</v>
      </c>
    </row>
    <row r="12" spans="1:19">
      <c r="A12" s="67" t="s">
        <v>68</v>
      </c>
      <c r="B12" s="57">
        <v>45408</v>
      </c>
      <c r="C12" s="69" t="s">
        <v>69</v>
      </c>
      <c r="D12" s="69" t="s">
        <v>70</v>
      </c>
      <c r="E12" s="69" t="s">
        <v>45</v>
      </c>
      <c r="F12" s="69" t="s">
        <v>46</v>
      </c>
      <c r="G12" s="69" t="s">
        <v>47</v>
      </c>
      <c r="H12" s="58">
        <v>1</v>
      </c>
      <c r="I12" s="59">
        <v>149.99</v>
      </c>
      <c r="J12" s="69" t="s">
        <v>27</v>
      </c>
      <c r="K12" s="69" t="s">
        <v>51</v>
      </c>
      <c r="L12" s="69" t="s">
        <v>37</v>
      </c>
      <c r="M12" s="57">
        <v>45103</v>
      </c>
      <c r="N12" s="64">
        <v>149.99</v>
      </c>
    </row>
    <row r="13" spans="1:19">
      <c r="A13" s="67" t="s">
        <v>71</v>
      </c>
      <c r="B13" s="57">
        <v>45408</v>
      </c>
      <c r="C13" s="69" t="s">
        <v>39</v>
      </c>
      <c r="D13" s="69" t="s">
        <v>40</v>
      </c>
      <c r="E13" s="69" t="s">
        <v>45</v>
      </c>
      <c r="F13" s="69" t="s">
        <v>46</v>
      </c>
      <c r="G13" s="69" t="s">
        <v>47</v>
      </c>
      <c r="H13" s="58">
        <v>5</v>
      </c>
      <c r="I13" s="59">
        <v>149.99</v>
      </c>
      <c r="J13" s="69" t="s">
        <v>58</v>
      </c>
      <c r="K13" s="69" t="s">
        <v>41</v>
      </c>
      <c r="L13" s="69" t="s">
        <v>23</v>
      </c>
      <c r="M13" s="57">
        <v>44830</v>
      </c>
      <c r="N13" s="64">
        <v>749.95</v>
      </c>
    </row>
    <row r="14" spans="1:19">
      <c r="A14" s="67" t="s">
        <v>72</v>
      </c>
      <c r="B14" s="57">
        <v>45408</v>
      </c>
      <c r="C14" s="69" t="s">
        <v>73</v>
      </c>
      <c r="D14" s="69" t="s">
        <v>74</v>
      </c>
      <c r="E14" s="69" t="s">
        <v>45</v>
      </c>
      <c r="F14" s="69" t="s">
        <v>46</v>
      </c>
      <c r="G14" s="69" t="s">
        <v>47</v>
      </c>
      <c r="H14" s="58">
        <v>3</v>
      </c>
      <c r="I14" s="59">
        <v>149.99</v>
      </c>
      <c r="J14" s="69" t="s">
        <v>21</v>
      </c>
      <c r="K14" s="69" t="s">
        <v>41</v>
      </c>
      <c r="L14" s="69" t="s">
        <v>28</v>
      </c>
      <c r="M14" s="57">
        <v>44806</v>
      </c>
      <c r="N14" s="64">
        <v>449.97</v>
      </c>
    </row>
    <row r="15" spans="1:19">
      <c r="A15" s="67" t="s">
        <v>75</v>
      </c>
      <c r="B15" s="57">
        <v>45409</v>
      </c>
      <c r="C15" s="69" t="s">
        <v>76</v>
      </c>
      <c r="D15" s="69" t="s">
        <v>77</v>
      </c>
      <c r="E15" s="69" t="s">
        <v>32</v>
      </c>
      <c r="F15" s="69" t="s">
        <v>33</v>
      </c>
      <c r="G15" s="69" t="s">
        <v>34</v>
      </c>
      <c r="H15" s="58">
        <v>3</v>
      </c>
      <c r="I15" s="59">
        <v>59.99</v>
      </c>
      <c r="J15" s="69" t="s">
        <v>27</v>
      </c>
      <c r="K15" s="69" t="s">
        <v>41</v>
      </c>
      <c r="L15" s="69" t="s">
        <v>37</v>
      </c>
      <c r="M15" s="57">
        <v>45351</v>
      </c>
      <c r="N15" s="64">
        <v>179.97</v>
      </c>
      <c r="Q15" s="73"/>
    </row>
    <row r="16" spans="1:19">
      <c r="A16" s="67" t="s">
        <v>78</v>
      </c>
      <c r="B16" s="57">
        <v>45409</v>
      </c>
      <c r="C16" s="69" t="s">
        <v>79</v>
      </c>
      <c r="D16" s="69" t="s">
        <v>80</v>
      </c>
      <c r="E16" s="69" t="s">
        <v>81</v>
      </c>
      <c r="F16" s="69" t="s">
        <v>82</v>
      </c>
      <c r="G16" s="69" t="s">
        <v>20</v>
      </c>
      <c r="H16" s="58">
        <v>3</v>
      </c>
      <c r="I16" s="59">
        <v>699.99</v>
      </c>
      <c r="J16" s="69" t="s">
        <v>27</v>
      </c>
      <c r="K16" s="69" t="s">
        <v>51</v>
      </c>
      <c r="L16" s="69" t="s">
        <v>23</v>
      </c>
      <c r="M16" s="57">
        <v>44577</v>
      </c>
      <c r="N16" s="64">
        <v>2099.9699999999998</v>
      </c>
    </row>
    <row r="17" spans="1:14">
      <c r="A17" s="67" t="s">
        <v>83</v>
      </c>
      <c r="B17" s="57">
        <v>45409</v>
      </c>
      <c r="C17" s="69" t="s">
        <v>84</v>
      </c>
      <c r="D17" s="69" t="s">
        <v>85</v>
      </c>
      <c r="E17" s="69" t="s">
        <v>62</v>
      </c>
      <c r="F17" s="69" t="s">
        <v>63</v>
      </c>
      <c r="G17" s="69" t="s">
        <v>20</v>
      </c>
      <c r="H17" s="58">
        <v>1</v>
      </c>
      <c r="I17" s="59">
        <v>899.99</v>
      </c>
      <c r="J17" s="69" t="s">
        <v>58</v>
      </c>
      <c r="K17" s="69" t="s">
        <v>41</v>
      </c>
      <c r="L17" s="69" t="s">
        <v>37</v>
      </c>
      <c r="M17" s="57">
        <v>44920</v>
      </c>
      <c r="N17" s="64">
        <v>899.99</v>
      </c>
    </row>
    <row r="18" spans="1:14">
      <c r="A18" s="67" t="s">
        <v>86</v>
      </c>
      <c r="B18" s="57">
        <v>45410</v>
      </c>
      <c r="C18" s="69" t="s">
        <v>87</v>
      </c>
      <c r="D18" s="69" t="s">
        <v>88</v>
      </c>
      <c r="E18" s="69" t="s">
        <v>45</v>
      </c>
      <c r="F18" s="69" t="s">
        <v>46</v>
      </c>
      <c r="G18" s="69" t="s">
        <v>47</v>
      </c>
      <c r="H18" s="58">
        <v>4</v>
      </c>
      <c r="I18" s="59">
        <v>149.99</v>
      </c>
      <c r="J18" s="69" t="s">
        <v>58</v>
      </c>
      <c r="K18" s="69" t="s">
        <v>41</v>
      </c>
      <c r="L18" s="69" t="s">
        <v>28</v>
      </c>
      <c r="M18" s="57">
        <v>45374</v>
      </c>
      <c r="N18" s="64">
        <v>599.96</v>
      </c>
    </row>
    <row r="19" spans="1:14">
      <c r="A19" s="67" t="s">
        <v>89</v>
      </c>
      <c r="B19" s="57">
        <v>45410</v>
      </c>
      <c r="C19" s="69" t="s">
        <v>90</v>
      </c>
      <c r="D19" s="69" t="s">
        <v>91</v>
      </c>
      <c r="E19" s="69" t="s">
        <v>81</v>
      </c>
      <c r="F19" s="71" t="s">
        <v>82</v>
      </c>
      <c r="G19" s="69" t="s">
        <v>20</v>
      </c>
      <c r="H19" s="58">
        <v>2</v>
      </c>
      <c r="I19" s="59">
        <v>699.99</v>
      </c>
      <c r="J19" s="69" t="s">
        <v>21</v>
      </c>
      <c r="K19" s="69" t="s">
        <v>41</v>
      </c>
      <c r="L19" s="69" t="s">
        <v>23</v>
      </c>
      <c r="M19" s="57">
        <v>44781</v>
      </c>
      <c r="N19" s="64">
        <v>1399.98</v>
      </c>
    </row>
    <row r="20" spans="1:14">
      <c r="A20" s="67" t="s">
        <v>92</v>
      </c>
      <c r="B20" s="57">
        <v>45410</v>
      </c>
      <c r="C20" s="69" t="s">
        <v>87</v>
      </c>
      <c r="D20" s="69" t="s">
        <v>88</v>
      </c>
      <c r="E20" s="69" t="s">
        <v>62</v>
      </c>
      <c r="F20" s="69" t="s">
        <v>63</v>
      </c>
      <c r="G20" s="69" t="s">
        <v>20</v>
      </c>
      <c r="H20" s="58">
        <v>4</v>
      </c>
      <c r="I20" s="59">
        <v>899.99</v>
      </c>
      <c r="J20" s="69" t="s">
        <v>27</v>
      </c>
      <c r="K20" s="69" t="s">
        <v>51</v>
      </c>
      <c r="L20" s="69" t="s">
        <v>37</v>
      </c>
      <c r="M20" s="57">
        <v>45327</v>
      </c>
      <c r="N20" s="64">
        <v>3599.96</v>
      </c>
    </row>
    <row r="21" spans="1:14">
      <c r="A21" s="67" t="s">
        <v>93</v>
      </c>
      <c r="B21" s="57">
        <v>45410</v>
      </c>
      <c r="C21" s="69" t="s">
        <v>94</v>
      </c>
      <c r="D21" s="69" t="s">
        <v>95</v>
      </c>
      <c r="E21" s="69" t="s">
        <v>18</v>
      </c>
      <c r="F21" s="69" t="s">
        <v>19</v>
      </c>
      <c r="G21" s="69" t="s">
        <v>20</v>
      </c>
      <c r="H21" s="58">
        <v>3</v>
      </c>
      <c r="I21" s="59">
        <v>249.99</v>
      </c>
      <c r="J21" s="69" t="s">
        <v>27</v>
      </c>
      <c r="K21" s="69" t="s">
        <v>41</v>
      </c>
      <c r="L21" s="69" t="s">
        <v>28</v>
      </c>
      <c r="M21" s="57">
        <v>45224</v>
      </c>
      <c r="N21" s="64">
        <v>749.97</v>
      </c>
    </row>
    <row r="22" spans="1:14">
      <c r="A22" s="67" t="s">
        <v>96</v>
      </c>
      <c r="B22" s="57">
        <v>45412</v>
      </c>
      <c r="C22" s="69" t="s">
        <v>97</v>
      </c>
      <c r="D22" s="69" t="s">
        <v>98</v>
      </c>
      <c r="E22" s="69" t="s">
        <v>81</v>
      </c>
      <c r="F22" s="69" t="s">
        <v>82</v>
      </c>
      <c r="G22" s="69" t="s">
        <v>20</v>
      </c>
      <c r="H22" s="58">
        <v>5</v>
      </c>
      <c r="I22" s="59">
        <v>699.99</v>
      </c>
      <c r="J22" s="69" t="s">
        <v>21</v>
      </c>
      <c r="K22" s="69" t="s">
        <v>51</v>
      </c>
      <c r="L22" s="69" t="s">
        <v>23</v>
      </c>
      <c r="M22" s="57">
        <v>45167</v>
      </c>
      <c r="N22" s="64">
        <v>3499.95</v>
      </c>
    </row>
    <row r="23" spans="1:14">
      <c r="A23" s="67" t="s">
        <v>99</v>
      </c>
      <c r="B23" s="57">
        <v>45413</v>
      </c>
      <c r="C23" s="69" t="s">
        <v>100</v>
      </c>
      <c r="D23" s="69" t="s">
        <v>101</v>
      </c>
      <c r="E23" s="69" t="s">
        <v>81</v>
      </c>
      <c r="F23" s="69" t="s">
        <v>82</v>
      </c>
      <c r="G23" s="69" t="s">
        <v>20</v>
      </c>
      <c r="H23" s="58">
        <v>4</v>
      </c>
      <c r="I23" s="59">
        <v>699.99</v>
      </c>
      <c r="J23" s="69" t="s">
        <v>21</v>
      </c>
      <c r="K23" s="69" t="s">
        <v>64</v>
      </c>
      <c r="L23" s="69" t="s">
        <v>37</v>
      </c>
      <c r="M23" s="57">
        <v>44409</v>
      </c>
      <c r="N23" s="64">
        <v>2799.96</v>
      </c>
    </row>
    <row r="24" spans="1:14">
      <c r="A24" s="67" t="s">
        <v>102</v>
      </c>
      <c r="B24" s="57">
        <v>45415</v>
      </c>
      <c r="C24" s="69" t="s">
        <v>103</v>
      </c>
      <c r="D24" s="69" t="s">
        <v>104</v>
      </c>
      <c r="E24" s="69" t="s">
        <v>18</v>
      </c>
      <c r="F24" s="69" t="s">
        <v>19</v>
      </c>
      <c r="G24" s="69" t="s">
        <v>20</v>
      </c>
      <c r="H24" s="58">
        <v>4</v>
      </c>
      <c r="I24" s="59">
        <v>249.99</v>
      </c>
      <c r="J24" s="69" t="s">
        <v>35</v>
      </c>
      <c r="K24" s="69" t="s">
        <v>41</v>
      </c>
      <c r="L24" s="69" t="s">
        <v>37</v>
      </c>
      <c r="M24" s="57">
        <v>44468</v>
      </c>
      <c r="N24" s="64">
        <v>999.96</v>
      </c>
    </row>
    <row r="25" spans="1:14">
      <c r="A25" s="67" t="s">
        <v>105</v>
      </c>
      <c r="B25" s="57">
        <v>45416</v>
      </c>
      <c r="C25" s="69" t="s">
        <v>87</v>
      </c>
      <c r="D25" s="69" t="s">
        <v>88</v>
      </c>
      <c r="E25" s="69" t="s">
        <v>106</v>
      </c>
      <c r="F25" s="69" t="s">
        <v>107</v>
      </c>
      <c r="G25" s="69" t="s">
        <v>47</v>
      </c>
      <c r="H25" s="58">
        <v>4</v>
      </c>
      <c r="I25" s="59">
        <v>299.99</v>
      </c>
      <c r="J25" s="69" t="s">
        <v>21</v>
      </c>
      <c r="K25" s="69" t="s">
        <v>51</v>
      </c>
      <c r="L25" s="69" t="s">
        <v>28</v>
      </c>
      <c r="M25" s="57">
        <v>44716</v>
      </c>
      <c r="N25" s="64">
        <v>1199.96</v>
      </c>
    </row>
    <row r="26" spans="1:14">
      <c r="A26" s="67" t="s">
        <v>108</v>
      </c>
      <c r="B26" s="57">
        <v>45422</v>
      </c>
      <c r="C26" s="69" t="s">
        <v>109</v>
      </c>
      <c r="D26" s="69" t="s">
        <v>110</v>
      </c>
      <c r="E26" s="69" t="s">
        <v>18</v>
      </c>
      <c r="F26" s="69" t="s">
        <v>19</v>
      </c>
      <c r="G26" s="69" t="s">
        <v>20</v>
      </c>
      <c r="H26" s="58">
        <v>5</v>
      </c>
      <c r="I26" s="59">
        <v>249.99</v>
      </c>
      <c r="J26" s="69" t="s">
        <v>27</v>
      </c>
      <c r="K26" s="69" t="s">
        <v>51</v>
      </c>
      <c r="L26" s="69" t="s">
        <v>37</v>
      </c>
      <c r="M26" s="57">
        <v>44525</v>
      </c>
      <c r="N26" s="64">
        <v>1249.95</v>
      </c>
    </row>
    <row r="27" spans="1:14">
      <c r="A27" s="67" t="s">
        <v>111</v>
      </c>
      <c r="B27" s="57">
        <v>45424</v>
      </c>
      <c r="C27" s="69" t="s">
        <v>69</v>
      </c>
      <c r="D27" s="69" t="s">
        <v>70</v>
      </c>
      <c r="E27" s="69" t="s">
        <v>106</v>
      </c>
      <c r="F27" s="69" t="s">
        <v>107</v>
      </c>
      <c r="G27" s="69" t="s">
        <v>47</v>
      </c>
      <c r="H27" s="58">
        <v>5</v>
      </c>
      <c r="I27" s="59">
        <v>299.99</v>
      </c>
      <c r="J27" s="69" t="s">
        <v>35</v>
      </c>
      <c r="K27" s="69" t="s">
        <v>64</v>
      </c>
      <c r="L27" s="69" t="s">
        <v>23</v>
      </c>
      <c r="M27" s="57">
        <v>45168</v>
      </c>
      <c r="N27" s="64">
        <v>1499.95</v>
      </c>
    </row>
    <row r="28" spans="1:14">
      <c r="A28" s="67" t="s">
        <v>112</v>
      </c>
      <c r="B28" s="57">
        <v>45424</v>
      </c>
      <c r="C28" s="69" t="s">
        <v>113</v>
      </c>
      <c r="D28" s="69" t="s">
        <v>114</v>
      </c>
      <c r="E28" s="69" t="s">
        <v>115</v>
      </c>
      <c r="F28" s="69" t="s">
        <v>116</v>
      </c>
      <c r="G28" s="69" t="s">
        <v>34</v>
      </c>
      <c r="H28" s="58">
        <v>3</v>
      </c>
      <c r="I28" s="59">
        <v>79.989999999999995</v>
      </c>
      <c r="J28" s="69" t="s">
        <v>35</v>
      </c>
      <c r="K28" s="69" t="s">
        <v>64</v>
      </c>
      <c r="L28" s="69" t="s">
        <v>28</v>
      </c>
      <c r="M28" s="57">
        <v>45012</v>
      </c>
      <c r="N28" s="64">
        <v>239.97</v>
      </c>
    </row>
    <row r="29" spans="1:14">
      <c r="A29" s="67" t="s">
        <v>117</v>
      </c>
      <c r="B29" s="57">
        <v>45424</v>
      </c>
      <c r="C29" s="69" t="s">
        <v>100</v>
      </c>
      <c r="D29" s="69" t="s">
        <v>101</v>
      </c>
      <c r="E29" s="69" t="s">
        <v>118</v>
      </c>
      <c r="F29" s="69" t="s">
        <v>119</v>
      </c>
      <c r="G29" s="69" t="s">
        <v>20</v>
      </c>
      <c r="H29" s="58">
        <v>5</v>
      </c>
      <c r="I29" s="59">
        <v>89.99</v>
      </c>
      <c r="J29" s="69" t="s">
        <v>21</v>
      </c>
      <c r="K29" s="69" t="s">
        <v>41</v>
      </c>
      <c r="L29" s="69" t="s">
        <v>28</v>
      </c>
      <c r="M29" s="57">
        <v>44919</v>
      </c>
      <c r="N29" s="64">
        <v>449.95</v>
      </c>
    </row>
    <row r="30" spans="1:14">
      <c r="A30" s="67" t="s">
        <v>120</v>
      </c>
      <c r="B30" s="57">
        <v>45425</v>
      </c>
      <c r="C30" s="69" t="s">
        <v>121</v>
      </c>
      <c r="D30" s="69" t="s">
        <v>122</v>
      </c>
      <c r="E30" s="69" t="s">
        <v>32</v>
      </c>
      <c r="F30" s="69" t="s">
        <v>33</v>
      </c>
      <c r="G30" s="69" t="s">
        <v>34</v>
      </c>
      <c r="H30" s="58">
        <v>2</v>
      </c>
      <c r="I30" s="59">
        <v>59.99</v>
      </c>
      <c r="J30" s="69" t="s">
        <v>58</v>
      </c>
      <c r="K30" s="69" t="s">
        <v>22</v>
      </c>
      <c r="L30" s="69" t="s">
        <v>37</v>
      </c>
      <c r="M30" s="57">
        <v>45214</v>
      </c>
      <c r="N30" s="64">
        <v>119.98</v>
      </c>
    </row>
    <row r="31" spans="1:14">
      <c r="A31" s="67" t="s">
        <v>123</v>
      </c>
      <c r="B31" s="57">
        <v>45427</v>
      </c>
      <c r="C31" s="69" t="s">
        <v>124</v>
      </c>
      <c r="D31" s="69" t="s">
        <v>125</v>
      </c>
      <c r="E31" s="69" t="s">
        <v>32</v>
      </c>
      <c r="F31" s="69" t="s">
        <v>33</v>
      </c>
      <c r="G31" s="69" t="s">
        <v>34</v>
      </c>
      <c r="H31" s="58">
        <v>4</v>
      </c>
      <c r="I31" s="59">
        <v>59.99</v>
      </c>
      <c r="J31" s="69" t="s">
        <v>58</v>
      </c>
      <c r="K31" s="69" t="s">
        <v>64</v>
      </c>
      <c r="L31" s="69" t="s">
        <v>37</v>
      </c>
      <c r="M31" s="57">
        <v>44867</v>
      </c>
      <c r="N31" s="64">
        <v>239.96</v>
      </c>
    </row>
    <row r="32" spans="1:14">
      <c r="A32" s="67" t="s">
        <v>126</v>
      </c>
      <c r="B32" s="57">
        <v>45427</v>
      </c>
      <c r="C32" s="69" t="s">
        <v>56</v>
      </c>
      <c r="D32" s="69" t="s">
        <v>57</v>
      </c>
      <c r="E32" s="69" t="s">
        <v>127</v>
      </c>
      <c r="F32" s="69" t="s">
        <v>128</v>
      </c>
      <c r="G32" s="69" t="s">
        <v>47</v>
      </c>
      <c r="H32" s="58">
        <v>5</v>
      </c>
      <c r="I32" s="59">
        <v>199.99</v>
      </c>
      <c r="J32" s="69" t="s">
        <v>21</v>
      </c>
      <c r="K32" s="69" t="s">
        <v>36</v>
      </c>
      <c r="L32" s="69" t="s">
        <v>37</v>
      </c>
      <c r="M32" s="57">
        <v>44412</v>
      </c>
      <c r="N32" s="64">
        <v>999.95</v>
      </c>
    </row>
    <row r="33" spans="1:14">
      <c r="A33" s="67" t="s">
        <v>129</v>
      </c>
      <c r="B33" s="57">
        <v>45428</v>
      </c>
      <c r="C33" s="69" t="s">
        <v>130</v>
      </c>
      <c r="D33" s="69" t="s">
        <v>131</v>
      </c>
      <c r="E33" s="69" t="s">
        <v>45</v>
      </c>
      <c r="F33" s="72" t="s">
        <v>46</v>
      </c>
      <c r="G33" s="69" t="s">
        <v>47</v>
      </c>
      <c r="H33" s="58">
        <v>2</v>
      </c>
      <c r="I33" s="59">
        <v>149.99</v>
      </c>
      <c r="J33" s="69" t="s">
        <v>27</v>
      </c>
      <c r="K33" s="69" t="s">
        <v>51</v>
      </c>
      <c r="L33" s="69" t="s">
        <v>23</v>
      </c>
      <c r="M33" s="57">
        <v>44823</v>
      </c>
      <c r="N33" s="64">
        <v>299.98</v>
      </c>
    </row>
    <row r="34" spans="1:14">
      <c r="A34" s="67" t="s">
        <v>132</v>
      </c>
      <c r="B34" s="57">
        <v>45430</v>
      </c>
      <c r="C34" s="69" t="s">
        <v>133</v>
      </c>
      <c r="D34" s="69" t="s">
        <v>134</v>
      </c>
      <c r="E34" s="69" t="s">
        <v>45</v>
      </c>
      <c r="F34" s="69" t="s">
        <v>46</v>
      </c>
      <c r="G34" s="69" t="s">
        <v>47</v>
      </c>
      <c r="H34" s="58">
        <v>3</v>
      </c>
      <c r="I34" s="59">
        <v>149.99</v>
      </c>
      <c r="J34" s="69" t="s">
        <v>27</v>
      </c>
      <c r="K34" s="69" t="s">
        <v>51</v>
      </c>
      <c r="L34" s="69" t="s">
        <v>28</v>
      </c>
      <c r="M34" s="57">
        <v>45068</v>
      </c>
      <c r="N34" s="64">
        <v>449.97</v>
      </c>
    </row>
    <row r="35" spans="1:14">
      <c r="A35" s="67" t="s">
        <v>135</v>
      </c>
      <c r="B35" s="57">
        <v>45432</v>
      </c>
      <c r="C35" s="69" t="s">
        <v>30</v>
      </c>
      <c r="D35" s="69" t="s">
        <v>31</v>
      </c>
      <c r="E35" s="69" t="s">
        <v>62</v>
      </c>
      <c r="F35" s="69" t="s">
        <v>63</v>
      </c>
      <c r="G35" s="69" t="s">
        <v>20</v>
      </c>
      <c r="H35" s="58">
        <v>1</v>
      </c>
      <c r="I35" s="59">
        <v>899.99</v>
      </c>
      <c r="J35" s="69" t="s">
        <v>27</v>
      </c>
      <c r="K35" s="69" t="s">
        <v>51</v>
      </c>
      <c r="L35" s="69" t="s">
        <v>28</v>
      </c>
      <c r="M35" s="57">
        <v>44578</v>
      </c>
      <c r="N35" s="64">
        <v>899.99</v>
      </c>
    </row>
    <row r="36" spans="1:14">
      <c r="A36" s="67" t="s">
        <v>136</v>
      </c>
      <c r="B36" s="57">
        <v>45434</v>
      </c>
      <c r="C36" s="69" t="s">
        <v>100</v>
      </c>
      <c r="D36" s="69" t="s">
        <v>101</v>
      </c>
      <c r="E36" s="69" t="s">
        <v>106</v>
      </c>
      <c r="F36" s="69" t="s">
        <v>107</v>
      </c>
      <c r="G36" s="69" t="s">
        <v>47</v>
      </c>
      <c r="H36" s="58">
        <v>3</v>
      </c>
      <c r="I36" s="59">
        <v>299.99</v>
      </c>
      <c r="J36" s="69" t="s">
        <v>27</v>
      </c>
      <c r="K36" s="69" t="s">
        <v>64</v>
      </c>
      <c r="L36" s="69" t="s">
        <v>23</v>
      </c>
      <c r="M36" s="57">
        <v>44824</v>
      </c>
      <c r="N36" s="64">
        <v>899.97</v>
      </c>
    </row>
    <row r="37" spans="1:14">
      <c r="A37" s="67" t="s">
        <v>137</v>
      </c>
      <c r="B37" s="57">
        <v>45435</v>
      </c>
      <c r="C37" s="69" t="s">
        <v>130</v>
      </c>
      <c r="D37" s="69" t="s">
        <v>131</v>
      </c>
      <c r="E37" s="69" t="s">
        <v>115</v>
      </c>
      <c r="F37" s="69" t="s">
        <v>116</v>
      </c>
      <c r="G37" s="69" t="s">
        <v>34</v>
      </c>
      <c r="H37" s="58">
        <v>3</v>
      </c>
      <c r="I37" s="59">
        <v>79.989999999999995</v>
      </c>
      <c r="J37" s="69" t="s">
        <v>21</v>
      </c>
      <c r="K37" s="69" t="s">
        <v>36</v>
      </c>
      <c r="L37" s="69" t="s">
        <v>23</v>
      </c>
      <c r="M37" s="57">
        <v>45046</v>
      </c>
      <c r="N37" s="64">
        <v>239.97</v>
      </c>
    </row>
    <row r="38" spans="1:14">
      <c r="A38" s="67" t="s">
        <v>138</v>
      </c>
      <c r="B38" s="57">
        <v>45438</v>
      </c>
      <c r="C38" s="69" t="s">
        <v>139</v>
      </c>
      <c r="D38" s="69" t="s">
        <v>140</v>
      </c>
      <c r="E38" s="69" t="s">
        <v>127</v>
      </c>
      <c r="F38" s="69" t="s">
        <v>128</v>
      </c>
      <c r="G38" s="69" t="s">
        <v>47</v>
      </c>
      <c r="H38" s="58">
        <v>3</v>
      </c>
      <c r="I38" s="59">
        <v>199.99</v>
      </c>
      <c r="J38" s="69" t="s">
        <v>27</v>
      </c>
      <c r="K38" s="69" t="s">
        <v>41</v>
      </c>
      <c r="L38" s="69" t="s">
        <v>28</v>
      </c>
      <c r="M38" s="57">
        <v>45292</v>
      </c>
      <c r="N38" s="64">
        <v>599.97</v>
      </c>
    </row>
    <row r="39" spans="1:14">
      <c r="A39" s="67" t="s">
        <v>141</v>
      </c>
      <c r="B39" s="57">
        <v>45440</v>
      </c>
      <c r="C39" s="69" t="s">
        <v>142</v>
      </c>
      <c r="D39" s="69" t="s">
        <v>143</v>
      </c>
      <c r="E39" s="69" t="s">
        <v>81</v>
      </c>
      <c r="F39" s="69" t="s">
        <v>82</v>
      </c>
      <c r="G39" s="69" t="s">
        <v>20</v>
      </c>
      <c r="H39" s="58">
        <v>5</v>
      </c>
      <c r="I39" s="59">
        <v>699.99</v>
      </c>
      <c r="J39" s="69" t="s">
        <v>35</v>
      </c>
      <c r="K39" s="69" t="s">
        <v>51</v>
      </c>
      <c r="L39" s="69" t="s">
        <v>37</v>
      </c>
      <c r="M39" s="57">
        <v>44407</v>
      </c>
      <c r="N39" s="64">
        <v>3499.95</v>
      </c>
    </row>
    <row r="40" spans="1:14">
      <c r="A40" s="67" t="s">
        <v>144</v>
      </c>
      <c r="B40" s="57">
        <v>45441</v>
      </c>
      <c r="C40" s="69" t="s">
        <v>145</v>
      </c>
      <c r="D40" s="69" t="s">
        <v>146</v>
      </c>
      <c r="E40" s="69" t="s">
        <v>118</v>
      </c>
      <c r="F40" s="69" t="s">
        <v>119</v>
      </c>
      <c r="G40" s="69" t="s">
        <v>20</v>
      </c>
      <c r="H40" s="58">
        <v>3</v>
      </c>
      <c r="I40" s="59">
        <v>89.99</v>
      </c>
      <c r="J40" s="69" t="s">
        <v>35</v>
      </c>
      <c r="K40" s="69" t="s">
        <v>22</v>
      </c>
      <c r="L40" s="69" t="s">
        <v>28</v>
      </c>
      <c r="M40" s="57">
        <v>45120</v>
      </c>
      <c r="N40" s="64">
        <v>269.97000000000003</v>
      </c>
    </row>
    <row r="41" spans="1:14">
      <c r="A41" s="67" t="s">
        <v>147</v>
      </c>
      <c r="B41" s="57">
        <v>45443</v>
      </c>
      <c r="C41" s="69" t="s">
        <v>148</v>
      </c>
      <c r="D41" s="69" t="s">
        <v>149</v>
      </c>
      <c r="E41" s="69" t="s">
        <v>115</v>
      </c>
      <c r="F41" s="69" t="s">
        <v>116</v>
      </c>
      <c r="G41" s="69" t="s">
        <v>34</v>
      </c>
      <c r="H41" s="58">
        <v>1</v>
      </c>
      <c r="I41" s="59">
        <v>79.989999999999995</v>
      </c>
      <c r="J41" s="69" t="s">
        <v>21</v>
      </c>
      <c r="K41" s="69" t="s">
        <v>41</v>
      </c>
      <c r="L41" s="69" t="s">
        <v>37</v>
      </c>
      <c r="M41" s="57">
        <v>44917</v>
      </c>
      <c r="N41" s="64">
        <v>79.989999999999995</v>
      </c>
    </row>
    <row r="42" spans="1:14">
      <c r="A42" s="67" t="s">
        <v>150</v>
      </c>
      <c r="B42" s="57">
        <v>45444</v>
      </c>
      <c r="C42" s="69" t="s">
        <v>151</v>
      </c>
      <c r="D42" s="69" t="s">
        <v>152</v>
      </c>
      <c r="E42" s="69" t="s">
        <v>32</v>
      </c>
      <c r="F42" s="69" t="s">
        <v>33</v>
      </c>
      <c r="G42" s="69" t="s">
        <v>34</v>
      </c>
      <c r="H42" s="58">
        <v>2</v>
      </c>
      <c r="I42" s="59">
        <v>59.99</v>
      </c>
      <c r="J42" s="69" t="s">
        <v>21</v>
      </c>
      <c r="K42" s="69" t="s">
        <v>51</v>
      </c>
      <c r="L42" s="69" t="s">
        <v>23</v>
      </c>
      <c r="M42" s="57">
        <v>45390</v>
      </c>
      <c r="N42" s="64">
        <v>119.98</v>
      </c>
    </row>
    <row r="43" spans="1:14">
      <c r="A43" s="67" t="s">
        <v>153</v>
      </c>
      <c r="B43" s="57">
        <v>45444</v>
      </c>
      <c r="C43" s="69" t="s">
        <v>56</v>
      </c>
      <c r="D43" s="69" t="s">
        <v>57</v>
      </c>
      <c r="E43" s="69" t="s">
        <v>118</v>
      </c>
      <c r="F43" s="69" t="s">
        <v>119</v>
      </c>
      <c r="G43" s="69" t="s">
        <v>20</v>
      </c>
      <c r="H43" s="58">
        <v>1</v>
      </c>
      <c r="I43" s="59">
        <v>89.99</v>
      </c>
      <c r="J43" s="69" t="s">
        <v>21</v>
      </c>
      <c r="K43" s="69" t="s">
        <v>41</v>
      </c>
      <c r="L43" s="69" t="s">
        <v>23</v>
      </c>
      <c r="M43" s="57">
        <v>45141</v>
      </c>
      <c r="N43" s="64">
        <v>89.99</v>
      </c>
    </row>
    <row r="44" spans="1:14">
      <c r="A44" s="67" t="s">
        <v>154</v>
      </c>
      <c r="B44" s="57">
        <v>45446</v>
      </c>
      <c r="C44" s="69" t="s">
        <v>155</v>
      </c>
      <c r="D44" s="69" t="s">
        <v>156</v>
      </c>
      <c r="E44" s="69" t="s">
        <v>118</v>
      </c>
      <c r="F44" s="69" t="s">
        <v>119</v>
      </c>
      <c r="G44" s="69" t="s">
        <v>20</v>
      </c>
      <c r="H44" s="58">
        <v>5</v>
      </c>
      <c r="I44" s="59">
        <v>89.99</v>
      </c>
      <c r="J44" s="69" t="s">
        <v>27</v>
      </c>
      <c r="K44" s="69" t="s">
        <v>64</v>
      </c>
      <c r="L44" s="69" t="s">
        <v>37</v>
      </c>
      <c r="M44" s="57">
        <v>44587</v>
      </c>
      <c r="N44" s="64">
        <v>449.95</v>
      </c>
    </row>
    <row r="45" spans="1:14">
      <c r="A45" s="67" t="s">
        <v>157</v>
      </c>
      <c r="B45" s="57">
        <v>45449</v>
      </c>
      <c r="C45" s="69" t="s">
        <v>25</v>
      </c>
      <c r="D45" s="69" t="s">
        <v>26</v>
      </c>
      <c r="E45" s="69" t="s">
        <v>18</v>
      </c>
      <c r="F45" s="69" t="s">
        <v>19</v>
      </c>
      <c r="G45" s="69" t="s">
        <v>20</v>
      </c>
      <c r="H45" s="58">
        <v>5</v>
      </c>
      <c r="I45" s="59">
        <v>249.99</v>
      </c>
      <c r="J45" s="69" t="s">
        <v>27</v>
      </c>
      <c r="K45" s="69" t="s">
        <v>64</v>
      </c>
      <c r="L45" s="69" t="s">
        <v>37</v>
      </c>
      <c r="M45" s="57">
        <v>44707</v>
      </c>
      <c r="N45" s="64">
        <v>1249.95</v>
      </c>
    </row>
    <row r="46" spans="1:14">
      <c r="A46" s="67" t="s">
        <v>158</v>
      </c>
      <c r="B46" s="57">
        <v>45449</v>
      </c>
      <c r="C46" s="69" t="s">
        <v>159</v>
      </c>
      <c r="D46" s="69" t="s">
        <v>160</v>
      </c>
      <c r="E46" s="69" t="s">
        <v>118</v>
      </c>
      <c r="F46" s="69" t="s">
        <v>119</v>
      </c>
      <c r="G46" s="69" t="s">
        <v>20</v>
      </c>
      <c r="H46" s="58">
        <v>1</v>
      </c>
      <c r="I46" s="59">
        <v>89.99</v>
      </c>
      <c r="J46" s="69" t="s">
        <v>27</v>
      </c>
      <c r="K46" s="69" t="s">
        <v>36</v>
      </c>
      <c r="L46" s="69" t="s">
        <v>37</v>
      </c>
      <c r="M46" s="57">
        <v>44582</v>
      </c>
      <c r="N46" s="64">
        <v>89.99</v>
      </c>
    </row>
    <row r="47" spans="1:14">
      <c r="A47" s="67" t="s">
        <v>161</v>
      </c>
      <c r="B47" s="57">
        <v>45450</v>
      </c>
      <c r="C47" s="69" t="s">
        <v>43</v>
      </c>
      <c r="D47" s="69" t="s">
        <v>44</v>
      </c>
      <c r="E47" s="69" t="s">
        <v>45</v>
      </c>
      <c r="F47" s="69" t="s">
        <v>46</v>
      </c>
      <c r="G47" s="69" t="s">
        <v>47</v>
      </c>
      <c r="H47" s="58">
        <v>2</v>
      </c>
      <c r="I47" s="59">
        <v>149.99</v>
      </c>
      <c r="J47" s="69" t="s">
        <v>21</v>
      </c>
      <c r="K47" s="69" t="s">
        <v>64</v>
      </c>
      <c r="L47" s="69" t="s">
        <v>28</v>
      </c>
      <c r="M47" s="57">
        <v>44645</v>
      </c>
      <c r="N47" s="64">
        <v>299.98</v>
      </c>
    </row>
    <row r="48" spans="1:14">
      <c r="A48" s="67" t="s">
        <v>162</v>
      </c>
      <c r="B48" s="57">
        <v>45452</v>
      </c>
      <c r="C48" s="69" t="s">
        <v>163</v>
      </c>
      <c r="D48" s="69" t="s">
        <v>164</v>
      </c>
      <c r="E48" s="69" t="s">
        <v>32</v>
      </c>
      <c r="F48" s="69" t="s">
        <v>33</v>
      </c>
      <c r="G48" s="69" t="s">
        <v>34</v>
      </c>
      <c r="H48" s="58">
        <v>4</v>
      </c>
      <c r="I48" s="59">
        <v>59.99</v>
      </c>
      <c r="J48" s="69" t="s">
        <v>21</v>
      </c>
      <c r="K48" s="69" t="s">
        <v>64</v>
      </c>
      <c r="L48" s="69" t="s">
        <v>37</v>
      </c>
      <c r="M48" s="57">
        <v>44435</v>
      </c>
      <c r="N48" s="64">
        <v>239.96</v>
      </c>
    </row>
    <row r="49" spans="1:14">
      <c r="A49" s="67" t="s">
        <v>165</v>
      </c>
      <c r="B49" s="57">
        <v>45456</v>
      </c>
      <c r="C49" s="69" t="s">
        <v>130</v>
      </c>
      <c r="D49" s="69" t="s">
        <v>131</v>
      </c>
      <c r="E49" s="69" t="s">
        <v>118</v>
      </c>
      <c r="F49" s="69" t="s">
        <v>119</v>
      </c>
      <c r="G49" s="69" t="s">
        <v>20</v>
      </c>
      <c r="H49" s="58">
        <v>5</v>
      </c>
      <c r="I49" s="59">
        <v>89.99</v>
      </c>
      <c r="J49" s="69" t="s">
        <v>21</v>
      </c>
      <c r="K49" s="69" t="s">
        <v>22</v>
      </c>
      <c r="L49" s="69" t="s">
        <v>28</v>
      </c>
      <c r="M49" s="57">
        <v>44579</v>
      </c>
      <c r="N49" s="64">
        <v>449.95</v>
      </c>
    </row>
    <row r="50" spans="1:14">
      <c r="A50" s="67" t="s">
        <v>166</v>
      </c>
      <c r="B50" s="57">
        <v>45459</v>
      </c>
      <c r="C50" s="69" t="s">
        <v>100</v>
      </c>
      <c r="D50" s="69" t="s">
        <v>101</v>
      </c>
      <c r="E50" s="69" t="s">
        <v>118</v>
      </c>
      <c r="F50" s="69" t="s">
        <v>119</v>
      </c>
      <c r="G50" s="69" t="s">
        <v>20</v>
      </c>
      <c r="H50" s="58">
        <v>2</v>
      </c>
      <c r="I50" s="59">
        <v>89.99</v>
      </c>
      <c r="J50" s="69" t="s">
        <v>27</v>
      </c>
      <c r="K50" s="69" t="s">
        <v>36</v>
      </c>
      <c r="L50" s="69" t="s">
        <v>28</v>
      </c>
      <c r="M50" s="57">
        <v>44471</v>
      </c>
      <c r="N50" s="64">
        <v>179.98</v>
      </c>
    </row>
    <row r="51" spans="1:14">
      <c r="A51" s="67" t="s">
        <v>167</v>
      </c>
      <c r="B51" s="57">
        <v>45459</v>
      </c>
      <c r="C51" s="69" t="s">
        <v>16</v>
      </c>
      <c r="D51" s="69" t="s">
        <v>17</v>
      </c>
      <c r="E51" s="69" t="s">
        <v>62</v>
      </c>
      <c r="F51" s="69" t="s">
        <v>63</v>
      </c>
      <c r="G51" s="69" t="s">
        <v>20</v>
      </c>
      <c r="H51" s="58">
        <v>5</v>
      </c>
      <c r="I51" s="59">
        <v>899.99</v>
      </c>
      <c r="J51" s="69" t="s">
        <v>27</v>
      </c>
      <c r="K51" s="69" t="s">
        <v>36</v>
      </c>
      <c r="L51" s="69" t="s">
        <v>37</v>
      </c>
      <c r="M51" s="57">
        <v>44974</v>
      </c>
      <c r="N51" s="64">
        <v>4499.95</v>
      </c>
    </row>
    <row r="52" spans="1:14">
      <c r="A52" s="67" t="s">
        <v>168</v>
      </c>
      <c r="B52" s="57">
        <v>45459</v>
      </c>
      <c r="C52" s="69" t="s">
        <v>124</v>
      </c>
      <c r="D52" s="69" t="s">
        <v>125</v>
      </c>
      <c r="E52" s="69" t="s">
        <v>62</v>
      </c>
      <c r="F52" s="69" t="s">
        <v>63</v>
      </c>
      <c r="G52" s="69" t="s">
        <v>20</v>
      </c>
      <c r="H52" s="58">
        <v>5</v>
      </c>
      <c r="I52" s="59">
        <v>899.99</v>
      </c>
      <c r="J52" s="69" t="s">
        <v>35</v>
      </c>
      <c r="K52" s="69" t="s">
        <v>64</v>
      </c>
      <c r="L52" s="69" t="s">
        <v>28</v>
      </c>
      <c r="M52" s="57">
        <v>45278</v>
      </c>
      <c r="N52" s="64">
        <v>4499.95</v>
      </c>
    </row>
    <row r="53" spans="1:14">
      <c r="A53" s="67" t="s">
        <v>169</v>
      </c>
      <c r="B53" s="57">
        <v>45460</v>
      </c>
      <c r="C53" s="69" t="s">
        <v>159</v>
      </c>
      <c r="D53" s="69" t="s">
        <v>160</v>
      </c>
      <c r="E53" s="69" t="s">
        <v>32</v>
      </c>
      <c r="F53" s="69" t="s">
        <v>33</v>
      </c>
      <c r="G53" s="69" t="s">
        <v>34</v>
      </c>
      <c r="H53" s="58">
        <v>1</v>
      </c>
      <c r="I53" s="59">
        <v>59.99</v>
      </c>
      <c r="J53" s="69" t="s">
        <v>58</v>
      </c>
      <c r="K53" s="69" t="s">
        <v>51</v>
      </c>
      <c r="L53" s="69" t="s">
        <v>28</v>
      </c>
      <c r="M53" s="57">
        <v>45190</v>
      </c>
      <c r="N53" s="64">
        <v>59.99</v>
      </c>
    </row>
    <row r="54" spans="1:14">
      <c r="A54" s="67" t="s">
        <v>170</v>
      </c>
      <c r="B54" s="57">
        <v>45460</v>
      </c>
      <c r="C54" s="69" t="s">
        <v>142</v>
      </c>
      <c r="D54" s="69" t="s">
        <v>143</v>
      </c>
      <c r="E54" s="69" t="s">
        <v>106</v>
      </c>
      <c r="F54" s="69" t="s">
        <v>107</v>
      </c>
      <c r="G54" s="69" t="s">
        <v>47</v>
      </c>
      <c r="H54" s="58">
        <v>2</v>
      </c>
      <c r="I54" s="59">
        <v>299.99</v>
      </c>
      <c r="J54" s="69" t="s">
        <v>58</v>
      </c>
      <c r="K54" s="69" t="s">
        <v>64</v>
      </c>
      <c r="L54" s="69" t="s">
        <v>37</v>
      </c>
      <c r="M54" s="57">
        <v>45253</v>
      </c>
      <c r="N54" s="64">
        <v>599.98</v>
      </c>
    </row>
    <row r="55" spans="1:14">
      <c r="A55" s="67" t="s">
        <v>171</v>
      </c>
      <c r="B55" s="57">
        <v>45468</v>
      </c>
      <c r="C55" s="69" t="s">
        <v>172</v>
      </c>
      <c r="D55" s="69" t="s">
        <v>173</v>
      </c>
      <c r="E55" s="69" t="s">
        <v>118</v>
      </c>
      <c r="F55" s="69" t="s">
        <v>119</v>
      </c>
      <c r="G55" s="69" t="s">
        <v>20</v>
      </c>
      <c r="H55" s="58">
        <v>4</v>
      </c>
      <c r="I55" s="59">
        <v>89.99</v>
      </c>
      <c r="J55" s="69" t="s">
        <v>58</v>
      </c>
      <c r="K55" s="69" t="s">
        <v>36</v>
      </c>
      <c r="L55" s="69" t="s">
        <v>23</v>
      </c>
      <c r="M55" s="57">
        <v>45281</v>
      </c>
      <c r="N55" s="64">
        <v>359.96</v>
      </c>
    </row>
    <row r="56" spans="1:14">
      <c r="A56" s="67" t="s">
        <v>174</v>
      </c>
      <c r="B56" s="57">
        <v>45469</v>
      </c>
      <c r="C56" s="69" t="s">
        <v>30</v>
      </c>
      <c r="D56" s="69" t="s">
        <v>31</v>
      </c>
      <c r="E56" s="69" t="s">
        <v>115</v>
      </c>
      <c r="F56" s="69" t="s">
        <v>116</v>
      </c>
      <c r="G56" s="69" t="s">
        <v>34</v>
      </c>
      <c r="H56" s="58">
        <v>1</v>
      </c>
      <c r="I56" s="59">
        <v>79.989999999999995</v>
      </c>
      <c r="J56" s="69" t="s">
        <v>35</v>
      </c>
      <c r="K56" s="69" t="s">
        <v>22</v>
      </c>
      <c r="L56" s="69" t="s">
        <v>28</v>
      </c>
      <c r="M56" s="57">
        <v>45352</v>
      </c>
      <c r="N56" s="64">
        <v>79.989999999999995</v>
      </c>
    </row>
    <row r="57" spans="1:14">
      <c r="A57" s="67" t="s">
        <v>175</v>
      </c>
      <c r="B57" s="57">
        <v>45469</v>
      </c>
      <c r="C57" s="69" t="s">
        <v>60</v>
      </c>
      <c r="D57" s="69" t="s">
        <v>61</v>
      </c>
      <c r="E57" s="69" t="s">
        <v>118</v>
      </c>
      <c r="F57" s="69" t="s">
        <v>119</v>
      </c>
      <c r="G57" s="69" t="s">
        <v>20</v>
      </c>
      <c r="H57" s="58">
        <v>2</v>
      </c>
      <c r="I57" s="59">
        <v>89.99</v>
      </c>
      <c r="J57" s="69" t="s">
        <v>21</v>
      </c>
      <c r="K57" s="69" t="s">
        <v>51</v>
      </c>
      <c r="L57" s="69" t="s">
        <v>23</v>
      </c>
      <c r="M57" s="57">
        <v>44438</v>
      </c>
      <c r="N57" s="64">
        <v>179.98</v>
      </c>
    </row>
    <row r="58" spans="1:14">
      <c r="A58" s="67" t="s">
        <v>176</v>
      </c>
      <c r="B58" s="57">
        <v>45471</v>
      </c>
      <c r="C58" s="69" t="s">
        <v>39</v>
      </c>
      <c r="D58" s="69" t="s">
        <v>40</v>
      </c>
      <c r="E58" s="69" t="s">
        <v>81</v>
      </c>
      <c r="F58" s="69" t="s">
        <v>82</v>
      </c>
      <c r="G58" s="69" t="s">
        <v>20</v>
      </c>
      <c r="H58" s="58">
        <v>3</v>
      </c>
      <c r="I58" s="59">
        <v>699.99</v>
      </c>
      <c r="J58" s="69" t="s">
        <v>27</v>
      </c>
      <c r="K58" s="69" t="s">
        <v>64</v>
      </c>
      <c r="L58" s="69" t="s">
        <v>28</v>
      </c>
      <c r="M58" s="57">
        <v>45102</v>
      </c>
      <c r="N58" s="64">
        <v>2099.9699999999998</v>
      </c>
    </row>
    <row r="59" spans="1:14">
      <c r="A59" s="67" t="s">
        <v>177</v>
      </c>
      <c r="B59" s="57">
        <v>45471</v>
      </c>
      <c r="C59" s="69" t="s">
        <v>100</v>
      </c>
      <c r="D59" s="69" t="s">
        <v>101</v>
      </c>
      <c r="E59" s="69" t="s">
        <v>62</v>
      </c>
      <c r="F59" s="69" t="s">
        <v>63</v>
      </c>
      <c r="G59" s="69" t="s">
        <v>20</v>
      </c>
      <c r="H59" s="58">
        <v>4</v>
      </c>
      <c r="I59" s="59">
        <v>899.99</v>
      </c>
      <c r="J59" s="69" t="s">
        <v>27</v>
      </c>
      <c r="K59" s="69" t="s">
        <v>64</v>
      </c>
      <c r="L59" s="69" t="s">
        <v>28</v>
      </c>
      <c r="M59" s="57">
        <v>44993</v>
      </c>
      <c r="N59" s="64">
        <v>3599.96</v>
      </c>
    </row>
    <row r="60" spans="1:14">
      <c r="A60" s="67" t="s">
        <v>178</v>
      </c>
      <c r="B60" s="57">
        <v>45472</v>
      </c>
      <c r="C60" s="69" t="s">
        <v>121</v>
      </c>
      <c r="D60" s="69" t="s">
        <v>122</v>
      </c>
      <c r="E60" s="69" t="s">
        <v>45</v>
      </c>
      <c r="F60" s="69" t="s">
        <v>46</v>
      </c>
      <c r="G60" s="69" t="s">
        <v>47</v>
      </c>
      <c r="H60" s="58">
        <v>1</v>
      </c>
      <c r="I60" s="59">
        <v>149.99</v>
      </c>
      <c r="J60" s="69" t="s">
        <v>35</v>
      </c>
      <c r="K60" s="69" t="s">
        <v>64</v>
      </c>
      <c r="L60" s="69" t="s">
        <v>23</v>
      </c>
      <c r="M60" s="57">
        <v>44851</v>
      </c>
      <c r="N60" s="64">
        <v>149.99</v>
      </c>
    </row>
    <row r="61" spans="1:14">
      <c r="A61" s="67" t="s">
        <v>179</v>
      </c>
      <c r="B61" s="57">
        <v>45474</v>
      </c>
      <c r="C61" s="69" t="s">
        <v>133</v>
      </c>
      <c r="D61" s="69" t="s">
        <v>134</v>
      </c>
      <c r="E61" s="69" t="s">
        <v>118</v>
      </c>
      <c r="F61" s="69" t="s">
        <v>119</v>
      </c>
      <c r="G61" s="69" t="s">
        <v>20</v>
      </c>
      <c r="H61" s="58">
        <v>2</v>
      </c>
      <c r="I61" s="59">
        <v>89.99</v>
      </c>
      <c r="J61" s="69" t="s">
        <v>35</v>
      </c>
      <c r="K61" s="69" t="s">
        <v>22</v>
      </c>
      <c r="L61" s="69" t="s">
        <v>28</v>
      </c>
      <c r="M61" s="57">
        <v>45275</v>
      </c>
      <c r="N61" s="64">
        <v>179.98</v>
      </c>
    </row>
    <row r="62" spans="1:14">
      <c r="A62" s="67" t="s">
        <v>180</v>
      </c>
      <c r="B62" s="57">
        <v>45475</v>
      </c>
      <c r="C62" s="69" t="s">
        <v>56</v>
      </c>
      <c r="D62" s="69" t="s">
        <v>57</v>
      </c>
      <c r="E62" s="69" t="s">
        <v>118</v>
      </c>
      <c r="F62" s="69" t="s">
        <v>119</v>
      </c>
      <c r="G62" s="69" t="s">
        <v>20</v>
      </c>
      <c r="H62" s="58">
        <v>1</v>
      </c>
      <c r="I62" s="59">
        <v>89.99</v>
      </c>
      <c r="J62" s="69" t="s">
        <v>35</v>
      </c>
      <c r="K62" s="69" t="s">
        <v>51</v>
      </c>
      <c r="L62" s="69" t="s">
        <v>37</v>
      </c>
      <c r="M62" s="57">
        <v>44802</v>
      </c>
      <c r="N62" s="64">
        <v>89.99</v>
      </c>
    </row>
    <row r="63" spans="1:14">
      <c r="A63" s="67" t="s">
        <v>181</v>
      </c>
      <c r="B63" s="57">
        <v>45476</v>
      </c>
      <c r="C63" s="69" t="s">
        <v>69</v>
      </c>
      <c r="D63" s="69" t="s">
        <v>70</v>
      </c>
      <c r="E63" s="69" t="s">
        <v>118</v>
      </c>
      <c r="F63" s="69" t="s">
        <v>119</v>
      </c>
      <c r="G63" s="69" t="s">
        <v>20</v>
      </c>
      <c r="H63" s="58">
        <v>1</v>
      </c>
      <c r="I63" s="59">
        <v>89.99</v>
      </c>
      <c r="J63" s="69" t="s">
        <v>21</v>
      </c>
      <c r="K63" s="69" t="s">
        <v>36</v>
      </c>
      <c r="L63" s="69" t="s">
        <v>37</v>
      </c>
      <c r="M63" s="57">
        <v>44611</v>
      </c>
      <c r="N63" s="64">
        <v>89.99</v>
      </c>
    </row>
    <row r="64" spans="1:14">
      <c r="A64" s="67" t="s">
        <v>182</v>
      </c>
      <c r="B64" s="57">
        <v>45476</v>
      </c>
      <c r="C64" s="69" t="s">
        <v>183</v>
      </c>
      <c r="D64" s="69" t="s">
        <v>184</v>
      </c>
      <c r="E64" s="69" t="s">
        <v>115</v>
      </c>
      <c r="F64" s="69" t="s">
        <v>116</v>
      </c>
      <c r="G64" s="69" t="s">
        <v>34</v>
      </c>
      <c r="H64" s="58">
        <v>5</v>
      </c>
      <c r="I64" s="59">
        <v>79.989999999999995</v>
      </c>
      <c r="J64" s="69" t="s">
        <v>58</v>
      </c>
      <c r="K64" s="69" t="s">
        <v>22</v>
      </c>
      <c r="L64" s="69" t="s">
        <v>23</v>
      </c>
      <c r="M64" s="57">
        <v>44981</v>
      </c>
      <c r="N64" s="64">
        <v>399.95</v>
      </c>
    </row>
    <row r="65" spans="1:14">
      <c r="A65" s="67" t="s">
        <v>185</v>
      </c>
      <c r="B65" s="57">
        <v>45481</v>
      </c>
      <c r="C65" s="69" t="s">
        <v>186</v>
      </c>
      <c r="D65" s="69" t="s">
        <v>187</v>
      </c>
      <c r="E65" s="69" t="s">
        <v>45</v>
      </c>
      <c r="F65" s="69" t="s">
        <v>46</v>
      </c>
      <c r="G65" s="69" t="s">
        <v>47</v>
      </c>
      <c r="H65" s="58">
        <v>1</v>
      </c>
      <c r="I65" s="59">
        <v>149.99</v>
      </c>
      <c r="J65" s="69" t="s">
        <v>35</v>
      </c>
      <c r="K65" s="69" t="s">
        <v>41</v>
      </c>
      <c r="L65" s="69" t="s">
        <v>23</v>
      </c>
      <c r="M65" s="57">
        <v>44421</v>
      </c>
      <c r="N65" s="64">
        <v>149.99</v>
      </c>
    </row>
    <row r="66" spans="1:14">
      <c r="A66" s="67" t="s">
        <v>188</v>
      </c>
      <c r="B66" s="57">
        <v>45481</v>
      </c>
      <c r="C66" s="69" t="s">
        <v>43</v>
      </c>
      <c r="D66" s="69" t="s">
        <v>44</v>
      </c>
      <c r="E66" s="69" t="s">
        <v>81</v>
      </c>
      <c r="F66" s="69" t="s">
        <v>82</v>
      </c>
      <c r="G66" s="69" t="s">
        <v>20</v>
      </c>
      <c r="H66" s="58">
        <v>2</v>
      </c>
      <c r="I66" s="59">
        <v>699.99</v>
      </c>
      <c r="J66" s="69" t="s">
        <v>35</v>
      </c>
      <c r="K66" s="69" t="s">
        <v>64</v>
      </c>
      <c r="L66" s="69" t="s">
        <v>28</v>
      </c>
      <c r="M66" s="57">
        <v>45389</v>
      </c>
      <c r="N66" s="64">
        <v>1399.98</v>
      </c>
    </row>
    <row r="67" spans="1:14">
      <c r="A67" s="67" t="s">
        <v>189</v>
      </c>
      <c r="B67" s="57">
        <v>45481</v>
      </c>
      <c r="C67" s="69" t="s">
        <v>97</v>
      </c>
      <c r="D67" s="69" t="s">
        <v>98</v>
      </c>
      <c r="E67" s="69" t="s">
        <v>118</v>
      </c>
      <c r="F67" s="69" t="s">
        <v>119</v>
      </c>
      <c r="G67" s="69" t="s">
        <v>20</v>
      </c>
      <c r="H67" s="58">
        <v>5</v>
      </c>
      <c r="I67" s="59">
        <v>89.99</v>
      </c>
      <c r="J67" s="69" t="s">
        <v>58</v>
      </c>
      <c r="K67" s="69" t="s">
        <v>41</v>
      </c>
      <c r="L67" s="69" t="s">
        <v>28</v>
      </c>
      <c r="M67" s="57">
        <v>45161</v>
      </c>
      <c r="N67" s="64">
        <v>449.95</v>
      </c>
    </row>
    <row r="68" spans="1:14">
      <c r="A68" s="67" t="s">
        <v>190</v>
      </c>
      <c r="B68" s="57">
        <v>45482</v>
      </c>
      <c r="C68" s="69" t="s">
        <v>172</v>
      </c>
      <c r="D68" s="69" t="s">
        <v>173</v>
      </c>
      <c r="E68" s="69" t="s">
        <v>32</v>
      </c>
      <c r="F68" s="69" t="s">
        <v>33</v>
      </c>
      <c r="G68" s="69" t="s">
        <v>34</v>
      </c>
      <c r="H68" s="58">
        <v>4</v>
      </c>
      <c r="I68" s="59">
        <v>59.99</v>
      </c>
      <c r="J68" s="69" t="s">
        <v>21</v>
      </c>
      <c r="K68" s="69" t="s">
        <v>36</v>
      </c>
      <c r="L68" s="69" t="s">
        <v>37</v>
      </c>
      <c r="M68" s="57">
        <v>44509</v>
      </c>
      <c r="N68" s="64">
        <v>239.96</v>
      </c>
    </row>
    <row r="69" spans="1:14">
      <c r="A69" s="67" t="s">
        <v>191</v>
      </c>
      <c r="B69" s="57">
        <v>45484</v>
      </c>
      <c r="C69" s="69" t="s">
        <v>25</v>
      </c>
      <c r="D69" s="69" t="s">
        <v>26</v>
      </c>
      <c r="E69" s="69" t="s">
        <v>53</v>
      </c>
      <c r="F69" s="69" t="s">
        <v>54</v>
      </c>
      <c r="G69" s="69" t="s">
        <v>20</v>
      </c>
      <c r="H69" s="58">
        <v>1</v>
      </c>
      <c r="I69" s="59">
        <v>149.99</v>
      </c>
      <c r="J69" s="69" t="s">
        <v>21</v>
      </c>
      <c r="K69" s="69" t="s">
        <v>22</v>
      </c>
      <c r="L69" s="69" t="s">
        <v>37</v>
      </c>
      <c r="M69" s="57">
        <v>44909</v>
      </c>
      <c r="N69" s="64">
        <v>149.99</v>
      </c>
    </row>
    <row r="70" spans="1:14">
      <c r="A70" s="67" t="s">
        <v>192</v>
      </c>
      <c r="B70" s="57">
        <v>45484</v>
      </c>
      <c r="C70" s="69" t="s">
        <v>193</v>
      </c>
      <c r="D70" s="69" t="s">
        <v>194</v>
      </c>
      <c r="E70" s="69" t="s">
        <v>106</v>
      </c>
      <c r="F70" s="69" t="s">
        <v>107</v>
      </c>
      <c r="G70" s="69" t="s">
        <v>47</v>
      </c>
      <c r="H70" s="58">
        <v>1</v>
      </c>
      <c r="I70" s="59">
        <v>299.99</v>
      </c>
      <c r="J70" s="69" t="s">
        <v>27</v>
      </c>
      <c r="K70" s="69" t="s">
        <v>41</v>
      </c>
      <c r="L70" s="69" t="s">
        <v>28</v>
      </c>
      <c r="M70" s="57">
        <v>44891</v>
      </c>
      <c r="N70" s="64">
        <v>299.99</v>
      </c>
    </row>
    <row r="71" spans="1:14">
      <c r="A71" s="67" t="s">
        <v>195</v>
      </c>
      <c r="B71" s="57">
        <v>45487</v>
      </c>
      <c r="C71" s="69" t="s">
        <v>193</v>
      </c>
      <c r="D71" s="69" t="s">
        <v>194</v>
      </c>
      <c r="E71" s="69" t="s">
        <v>127</v>
      </c>
      <c r="F71" s="69" t="s">
        <v>128</v>
      </c>
      <c r="G71" s="69" t="s">
        <v>47</v>
      </c>
      <c r="H71" s="58">
        <v>2</v>
      </c>
      <c r="I71" s="59">
        <v>199.99</v>
      </c>
      <c r="J71" s="69" t="s">
        <v>21</v>
      </c>
      <c r="K71" s="69" t="s">
        <v>41</v>
      </c>
      <c r="L71" s="69" t="s">
        <v>23</v>
      </c>
      <c r="M71" s="57">
        <v>44541</v>
      </c>
      <c r="N71" s="64">
        <v>399.98</v>
      </c>
    </row>
    <row r="72" spans="1:14">
      <c r="A72" s="67" t="s">
        <v>196</v>
      </c>
      <c r="B72" s="57">
        <v>45490</v>
      </c>
      <c r="C72" s="69" t="s">
        <v>197</v>
      </c>
      <c r="D72" s="69" t="s">
        <v>198</v>
      </c>
      <c r="E72" s="69" t="s">
        <v>32</v>
      </c>
      <c r="F72" s="69" t="s">
        <v>33</v>
      </c>
      <c r="G72" s="69" t="s">
        <v>34</v>
      </c>
      <c r="H72" s="58">
        <v>3</v>
      </c>
      <c r="I72" s="59">
        <v>59.99</v>
      </c>
      <c r="J72" s="69" t="s">
        <v>27</v>
      </c>
      <c r="K72" s="69" t="s">
        <v>51</v>
      </c>
      <c r="L72" s="69" t="s">
        <v>23</v>
      </c>
      <c r="M72" s="57">
        <v>45130</v>
      </c>
      <c r="N72" s="64">
        <v>179.97</v>
      </c>
    </row>
    <row r="73" spans="1:14">
      <c r="A73" s="67" t="s">
        <v>199</v>
      </c>
      <c r="B73" s="57">
        <v>45490</v>
      </c>
      <c r="C73" s="69" t="s">
        <v>73</v>
      </c>
      <c r="D73" s="69" t="s">
        <v>74</v>
      </c>
      <c r="E73" s="69" t="s">
        <v>45</v>
      </c>
      <c r="F73" s="69" t="s">
        <v>46</v>
      </c>
      <c r="G73" s="69" t="s">
        <v>47</v>
      </c>
      <c r="H73" s="58">
        <v>3</v>
      </c>
      <c r="I73" s="59">
        <v>149.99</v>
      </c>
      <c r="J73" s="69" t="s">
        <v>21</v>
      </c>
      <c r="K73" s="69" t="s">
        <v>22</v>
      </c>
      <c r="L73" s="69" t="s">
        <v>28</v>
      </c>
      <c r="M73" s="57">
        <v>45199</v>
      </c>
      <c r="N73" s="64">
        <v>449.97</v>
      </c>
    </row>
    <row r="74" spans="1:14">
      <c r="A74" s="67" t="s">
        <v>200</v>
      </c>
      <c r="B74" s="57">
        <v>45491</v>
      </c>
      <c r="C74" s="69" t="s">
        <v>66</v>
      </c>
      <c r="D74" s="69" t="s">
        <v>67</v>
      </c>
      <c r="E74" s="69" t="s">
        <v>127</v>
      </c>
      <c r="F74" s="69" t="s">
        <v>128</v>
      </c>
      <c r="G74" s="69" t="s">
        <v>47</v>
      </c>
      <c r="H74" s="58">
        <v>3</v>
      </c>
      <c r="I74" s="59">
        <v>199.99</v>
      </c>
      <c r="J74" s="69" t="s">
        <v>21</v>
      </c>
      <c r="K74" s="69" t="s">
        <v>41</v>
      </c>
      <c r="L74" s="69" t="s">
        <v>28</v>
      </c>
      <c r="M74" s="57">
        <v>45254</v>
      </c>
      <c r="N74" s="64">
        <v>599.97</v>
      </c>
    </row>
    <row r="75" spans="1:14">
      <c r="A75" s="67" t="s">
        <v>201</v>
      </c>
      <c r="B75" s="57">
        <v>45496</v>
      </c>
      <c r="C75" s="69" t="s">
        <v>151</v>
      </c>
      <c r="D75" s="69" t="s">
        <v>152</v>
      </c>
      <c r="E75" s="69" t="s">
        <v>62</v>
      </c>
      <c r="F75" s="69" t="s">
        <v>63</v>
      </c>
      <c r="G75" s="69" t="s">
        <v>20</v>
      </c>
      <c r="H75" s="58">
        <v>1</v>
      </c>
      <c r="I75" s="59">
        <v>899.99</v>
      </c>
      <c r="J75" s="69" t="s">
        <v>21</v>
      </c>
      <c r="K75" s="69" t="s">
        <v>22</v>
      </c>
      <c r="L75" s="69" t="s">
        <v>37</v>
      </c>
      <c r="M75" s="57">
        <v>45179</v>
      </c>
      <c r="N75" s="64">
        <v>899.99</v>
      </c>
    </row>
    <row r="76" spans="1:14">
      <c r="A76" s="67" t="s">
        <v>202</v>
      </c>
      <c r="B76" s="57">
        <v>45497</v>
      </c>
      <c r="C76" s="69" t="s">
        <v>25</v>
      </c>
      <c r="D76" s="69" t="s">
        <v>26</v>
      </c>
      <c r="E76" s="69" t="s">
        <v>62</v>
      </c>
      <c r="F76" s="69" t="s">
        <v>63</v>
      </c>
      <c r="G76" s="69" t="s">
        <v>20</v>
      </c>
      <c r="H76" s="58">
        <v>5</v>
      </c>
      <c r="I76" s="59">
        <v>899.99</v>
      </c>
      <c r="J76" s="69" t="s">
        <v>58</v>
      </c>
      <c r="K76" s="69" t="s">
        <v>36</v>
      </c>
      <c r="L76" s="69" t="s">
        <v>37</v>
      </c>
      <c r="M76" s="57">
        <v>44899</v>
      </c>
      <c r="N76" s="64">
        <v>4499.95</v>
      </c>
    </row>
    <row r="77" spans="1:14">
      <c r="A77" s="67" t="s">
        <v>203</v>
      </c>
      <c r="B77" s="57">
        <v>45498</v>
      </c>
      <c r="C77" s="69" t="s">
        <v>183</v>
      </c>
      <c r="D77" s="69" t="s">
        <v>184</v>
      </c>
      <c r="E77" s="69" t="s">
        <v>32</v>
      </c>
      <c r="F77" s="69" t="s">
        <v>33</v>
      </c>
      <c r="G77" s="69" t="s">
        <v>34</v>
      </c>
      <c r="H77" s="58">
        <v>2</v>
      </c>
      <c r="I77" s="59">
        <v>59.99</v>
      </c>
      <c r="J77" s="69" t="s">
        <v>21</v>
      </c>
      <c r="K77" s="69" t="s">
        <v>41</v>
      </c>
      <c r="L77" s="69" t="s">
        <v>37</v>
      </c>
      <c r="M77" s="57">
        <v>45152</v>
      </c>
      <c r="N77" s="64">
        <v>119.98</v>
      </c>
    </row>
    <row r="78" spans="1:14">
      <c r="A78" s="67" t="s">
        <v>204</v>
      </c>
      <c r="B78" s="57">
        <v>45498</v>
      </c>
      <c r="C78" s="69" t="s">
        <v>197</v>
      </c>
      <c r="D78" s="69" t="s">
        <v>198</v>
      </c>
      <c r="E78" s="69" t="s">
        <v>18</v>
      </c>
      <c r="F78" s="69" t="s">
        <v>19</v>
      </c>
      <c r="G78" s="69" t="s">
        <v>20</v>
      </c>
      <c r="H78" s="58">
        <v>4</v>
      </c>
      <c r="I78" s="59">
        <v>249.99</v>
      </c>
      <c r="J78" s="69" t="s">
        <v>58</v>
      </c>
      <c r="K78" s="69" t="s">
        <v>22</v>
      </c>
      <c r="L78" s="69" t="s">
        <v>37</v>
      </c>
      <c r="M78" s="57">
        <v>45127</v>
      </c>
      <c r="N78" s="64">
        <v>999.96</v>
      </c>
    </row>
    <row r="79" spans="1:14">
      <c r="A79" s="67" t="s">
        <v>205</v>
      </c>
      <c r="B79" s="57">
        <v>45500</v>
      </c>
      <c r="C79" s="69" t="s">
        <v>97</v>
      </c>
      <c r="D79" s="69" t="s">
        <v>98</v>
      </c>
      <c r="E79" s="69" t="s">
        <v>18</v>
      </c>
      <c r="F79" s="69" t="s">
        <v>19</v>
      </c>
      <c r="G79" s="69" t="s">
        <v>20</v>
      </c>
      <c r="H79" s="58">
        <v>2</v>
      </c>
      <c r="I79" s="59">
        <v>249.99</v>
      </c>
      <c r="J79" s="69" t="s">
        <v>21</v>
      </c>
      <c r="K79" s="69" t="s">
        <v>41</v>
      </c>
      <c r="L79" s="69" t="s">
        <v>28</v>
      </c>
      <c r="M79" s="57">
        <v>45164</v>
      </c>
      <c r="N79" s="64">
        <v>499.98</v>
      </c>
    </row>
    <row r="80" spans="1:14">
      <c r="A80" s="67" t="s">
        <v>206</v>
      </c>
      <c r="B80" s="57">
        <v>45500</v>
      </c>
      <c r="C80" s="69" t="s">
        <v>148</v>
      </c>
      <c r="D80" s="69" t="s">
        <v>149</v>
      </c>
      <c r="E80" s="69" t="s">
        <v>106</v>
      </c>
      <c r="F80" s="69" t="s">
        <v>107</v>
      </c>
      <c r="G80" s="69" t="s">
        <v>47</v>
      </c>
      <c r="H80" s="58">
        <v>1</v>
      </c>
      <c r="I80" s="59">
        <v>299.99</v>
      </c>
      <c r="J80" s="69" t="s">
        <v>21</v>
      </c>
      <c r="K80" s="69" t="s">
        <v>36</v>
      </c>
      <c r="L80" s="69" t="s">
        <v>23</v>
      </c>
      <c r="M80" s="57">
        <v>44982</v>
      </c>
      <c r="N80" s="64">
        <v>299.99</v>
      </c>
    </row>
    <row r="81" spans="1:14">
      <c r="A81" s="67" t="s">
        <v>207</v>
      </c>
      <c r="B81" s="57">
        <v>45501</v>
      </c>
      <c r="C81" s="69" t="s">
        <v>87</v>
      </c>
      <c r="D81" s="69" t="s">
        <v>88</v>
      </c>
      <c r="E81" s="69" t="s">
        <v>118</v>
      </c>
      <c r="F81" s="69" t="s">
        <v>119</v>
      </c>
      <c r="G81" s="69" t="s">
        <v>20</v>
      </c>
      <c r="H81" s="58">
        <v>2</v>
      </c>
      <c r="I81" s="59">
        <v>89.99</v>
      </c>
      <c r="J81" s="69" t="s">
        <v>35</v>
      </c>
      <c r="K81" s="69" t="s">
        <v>36</v>
      </c>
      <c r="L81" s="69" t="s">
        <v>23</v>
      </c>
      <c r="M81" s="57">
        <v>44976</v>
      </c>
      <c r="N81" s="64">
        <v>179.98</v>
      </c>
    </row>
    <row r="82" spans="1:14">
      <c r="A82" s="67" t="s">
        <v>208</v>
      </c>
      <c r="B82" s="57">
        <v>45501</v>
      </c>
      <c r="C82" s="69" t="s">
        <v>148</v>
      </c>
      <c r="D82" s="69" t="s">
        <v>149</v>
      </c>
      <c r="E82" s="69" t="s">
        <v>106</v>
      </c>
      <c r="F82" s="69" t="s">
        <v>107</v>
      </c>
      <c r="G82" s="69" t="s">
        <v>47</v>
      </c>
      <c r="H82" s="58">
        <v>3</v>
      </c>
      <c r="I82" s="59">
        <v>299.99</v>
      </c>
      <c r="J82" s="69" t="s">
        <v>21</v>
      </c>
      <c r="K82" s="69" t="s">
        <v>22</v>
      </c>
      <c r="L82" s="69" t="s">
        <v>23</v>
      </c>
      <c r="M82" s="57">
        <v>44732</v>
      </c>
      <c r="N82" s="64">
        <v>899.97</v>
      </c>
    </row>
    <row r="83" spans="1:14">
      <c r="A83" s="67" t="s">
        <v>209</v>
      </c>
      <c r="B83" s="57">
        <v>45503</v>
      </c>
      <c r="C83" s="69" t="s">
        <v>87</v>
      </c>
      <c r="D83" s="69" t="s">
        <v>88</v>
      </c>
      <c r="E83" s="69" t="s">
        <v>81</v>
      </c>
      <c r="F83" s="69" t="s">
        <v>82</v>
      </c>
      <c r="G83" s="69" t="s">
        <v>20</v>
      </c>
      <c r="H83" s="58">
        <v>2</v>
      </c>
      <c r="I83" s="59">
        <v>699.99</v>
      </c>
      <c r="J83" s="69" t="s">
        <v>27</v>
      </c>
      <c r="K83" s="69" t="s">
        <v>41</v>
      </c>
      <c r="L83" s="69" t="s">
        <v>28</v>
      </c>
      <c r="M83" s="57">
        <v>44999</v>
      </c>
      <c r="N83" s="64">
        <v>1399.98</v>
      </c>
    </row>
    <row r="84" spans="1:14">
      <c r="A84" s="67" t="s">
        <v>210</v>
      </c>
      <c r="B84" s="57">
        <v>45504</v>
      </c>
      <c r="C84" s="69" t="s">
        <v>121</v>
      </c>
      <c r="D84" s="69" t="s">
        <v>122</v>
      </c>
      <c r="E84" s="69" t="s">
        <v>62</v>
      </c>
      <c r="F84" s="69" t="s">
        <v>63</v>
      </c>
      <c r="G84" s="69" t="s">
        <v>20</v>
      </c>
      <c r="H84" s="58">
        <v>4</v>
      </c>
      <c r="I84" s="59">
        <v>899.99</v>
      </c>
      <c r="J84" s="69" t="s">
        <v>58</v>
      </c>
      <c r="K84" s="69" t="s">
        <v>36</v>
      </c>
      <c r="L84" s="69" t="s">
        <v>37</v>
      </c>
      <c r="M84" s="57">
        <v>44523</v>
      </c>
      <c r="N84" s="64">
        <v>3599.96</v>
      </c>
    </row>
    <row r="85" spans="1:14">
      <c r="A85" s="67" t="s">
        <v>211</v>
      </c>
      <c r="B85" s="57">
        <v>45509</v>
      </c>
      <c r="C85" s="69" t="s">
        <v>212</v>
      </c>
      <c r="D85" s="69" t="s">
        <v>213</v>
      </c>
      <c r="E85" s="69" t="s">
        <v>45</v>
      </c>
      <c r="F85" s="69" t="s">
        <v>46</v>
      </c>
      <c r="G85" s="69" t="s">
        <v>47</v>
      </c>
      <c r="H85" s="58">
        <v>2</v>
      </c>
      <c r="I85" s="59">
        <v>149.99</v>
      </c>
      <c r="J85" s="69" t="s">
        <v>27</v>
      </c>
      <c r="K85" s="69" t="s">
        <v>51</v>
      </c>
      <c r="L85" s="69" t="s">
        <v>23</v>
      </c>
      <c r="M85" s="57">
        <v>44542</v>
      </c>
      <c r="N85" s="64">
        <v>299.98</v>
      </c>
    </row>
    <row r="86" spans="1:14">
      <c r="A86" s="67" t="s">
        <v>214</v>
      </c>
      <c r="B86" s="57">
        <v>45510</v>
      </c>
      <c r="C86" s="69" t="s">
        <v>103</v>
      </c>
      <c r="D86" s="69" t="s">
        <v>104</v>
      </c>
      <c r="E86" s="69" t="s">
        <v>45</v>
      </c>
      <c r="F86" s="69" t="s">
        <v>46</v>
      </c>
      <c r="G86" s="69" t="s">
        <v>47</v>
      </c>
      <c r="H86" s="58">
        <v>2</v>
      </c>
      <c r="I86" s="59">
        <v>149.99</v>
      </c>
      <c r="J86" s="69" t="s">
        <v>58</v>
      </c>
      <c r="K86" s="69" t="s">
        <v>64</v>
      </c>
      <c r="L86" s="69" t="s">
        <v>37</v>
      </c>
      <c r="M86" s="57">
        <v>44667</v>
      </c>
      <c r="N86" s="64">
        <v>299.98</v>
      </c>
    </row>
    <row r="87" spans="1:14">
      <c r="A87" s="67" t="s">
        <v>215</v>
      </c>
      <c r="B87" s="57">
        <v>45513</v>
      </c>
      <c r="C87" s="69" t="s">
        <v>90</v>
      </c>
      <c r="D87" s="69" t="s">
        <v>91</v>
      </c>
      <c r="E87" s="69" t="s">
        <v>118</v>
      </c>
      <c r="F87" s="69" t="s">
        <v>119</v>
      </c>
      <c r="G87" s="69" t="s">
        <v>20</v>
      </c>
      <c r="H87" s="58">
        <v>1</v>
      </c>
      <c r="I87" s="59">
        <v>89.99</v>
      </c>
      <c r="J87" s="69" t="s">
        <v>27</v>
      </c>
      <c r="K87" s="69" t="s">
        <v>41</v>
      </c>
      <c r="L87" s="69" t="s">
        <v>37</v>
      </c>
      <c r="M87" s="57">
        <v>45393</v>
      </c>
      <c r="N87" s="64">
        <v>89.99</v>
      </c>
    </row>
    <row r="88" spans="1:14">
      <c r="A88" s="67" t="s">
        <v>216</v>
      </c>
      <c r="B88" s="57">
        <v>45515</v>
      </c>
      <c r="C88" s="69" t="s">
        <v>87</v>
      </c>
      <c r="D88" s="69" t="s">
        <v>88</v>
      </c>
      <c r="E88" s="69" t="s">
        <v>106</v>
      </c>
      <c r="F88" s="69" t="s">
        <v>107</v>
      </c>
      <c r="G88" s="69" t="s">
        <v>47</v>
      </c>
      <c r="H88" s="58">
        <v>5</v>
      </c>
      <c r="I88" s="59">
        <v>299.99</v>
      </c>
      <c r="J88" s="69" t="s">
        <v>27</v>
      </c>
      <c r="K88" s="69" t="s">
        <v>41</v>
      </c>
      <c r="L88" s="69" t="s">
        <v>23</v>
      </c>
      <c r="M88" s="57">
        <v>44965</v>
      </c>
      <c r="N88" s="64">
        <v>1499.95</v>
      </c>
    </row>
    <row r="89" spans="1:14">
      <c r="A89" s="67" t="s">
        <v>217</v>
      </c>
      <c r="B89" s="57">
        <v>45517</v>
      </c>
      <c r="C89" s="69" t="s">
        <v>183</v>
      </c>
      <c r="D89" s="69" t="s">
        <v>184</v>
      </c>
      <c r="E89" s="69" t="s">
        <v>53</v>
      </c>
      <c r="F89" s="69" t="s">
        <v>54</v>
      </c>
      <c r="G89" s="69" t="s">
        <v>20</v>
      </c>
      <c r="H89" s="58">
        <v>4</v>
      </c>
      <c r="I89" s="59">
        <v>149.99</v>
      </c>
      <c r="J89" s="69" t="s">
        <v>58</v>
      </c>
      <c r="K89" s="69" t="s">
        <v>36</v>
      </c>
      <c r="L89" s="69" t="s">
        <v>28</v>
      </c>
      <c r="M89" s="57">
        <v>44820</v>
      </c>
      <c r="N89" s="64">
        <v>599.96</v>
      </c>
    </row>
    <row r="90" spans="1:14">
      <c r="A90" s="67" t="s">
        <v>218</v>
      </c>
      <c r="B90" s="57">
        <v>45517</v>
      </c>
      <c r="C90" s="69" t="s">
        <v>186</v>
      </c>
      <c r="D90" s="69" t="s">
        <v>187</v>
      </c>
      <c r="E90" s="69" t="s">
        <v>18</v>
      </c>
      <c r="F90" s="69" t="s">
        <v>19</v>
      </c>
      <c r="G90" s="69" t="s">
        <v>20</v>
      </c>
      <c r="H90" s="58">
        <v>5</v>
      </c>
      <c r="I90" s="59">
        <v>249.99</v>
      </c>
      <c r="J90" s="69" t="s">
        <v>35</v>
      </c>
      <c r="K90" s="69" t="s">
        <v>64</v>
      </c>
      <c r="L90" s="69" t="s">
        <v>28</v>
      </c>
      <c r="M90" s="57">
        <v>44782</v>
      </c>
      <c r="N90" s="64">
        <v>1249.95</v>
      </c>
    </row>
    <row r="91" spans="1:14">
      <c r="A91" s="67" t="s">
        <v>219</v>
      </c>
      <c r="B91" s="57">
        <v>45517</v>
      </c>
      <c r="C91" s="69" t="s">
        <v>66</v>
      </c>
      <c r="D91" s="69" t="s">
        <v>67</v>
      </c>
      <c r="E91" s="69" t="s">
        <v>18</v>
      </c>
      <c r="F91" s="69" t="s">
        <v>19</v>
      </c>
      <c r="G91" s="69" t="s">
        <v>20</v>
      </c>
      <c r="H91" s="58">
        <v>3</v>
      </c>
      <c r="I91" s="59">
        <v>249.99</v>
      </c>
      <c r="J91" s="69" t="s">
        <v>35</v>
      </c>
      <c r="K91" s="69" t="s">
        <v>41</v>
      </c>
      <c r="L91" s="69" t="s">
        <v>28</v>
      </c>
      <c r="M91" s="57">
        <v>44465</v>
      </c>
      <c r="N91" s="64">
        <v>749.97</v>
      </c>
    </row>
    <row r="92" spans="1:14">
      <c r="A92" s="67" t="s">
        <v>220</v>
      </c>
      <c r="B92" s="57">
        <v>45517</v>
      </c>
      <c r="C92" s="69" t="s">
        <v>39</v>
      </c>
      <c r="D92" s="69" t="s">
        <v>40</v>
      </c>
      <c r="E92" s="69" t="s">
        <v>127</v>
      </c>
      <c r="F92" s="69" t="s">
        <v>128</v>
      </c>
      <c r="G92" s="69" t="s">
        <v>47</v>
      </c>
      <c r="H92" s="58">
        <v>4</v>
      </c>
      <c r="I92" s="59">
        <v>199.99</v>
      </c>
      <c r="J92" s="69" t="s">
        <v>21</v>
      </c>
      <c r="K92" s="69" t="s">
        <v>41</v>
      </c>
      <c r="L92" s="69" t="s">
        <v>37</v>
      </c>
      <c r="M92" s="57">
        <v>44458</v>
      </c>
      <c r="N92" s="64">
        <v>799.96</v>
      </c>
    </row>
    <row r="93" spans="1:14">
      <c r="A93" s="67" t="s">
        <v>221</v>
      </c>
      <c r="B93" s="57">
        <v>45519</v>
      </c>
      <c r="C93" s="69" t="s">
        <v>159</v>
      </c>
      <c r="D93" s="69" t="s">
        <v>160</v>
      </c>
      <c r="E93" s="69" t="s">
        <v>127</v>
      </c>
      <c r="F93" s="69" t="s">
        <v>128</v>
      </c>
      <c r="G93" s="69" t="s">
        <v>47</v>
      </c>
      <c r="H93" s="58">
        <v>5</v>
      </c>
      <c r="I93" s="59">
        <v>199.99</v>
      </c>
      <c r="J93" s="69" t="s">
        <v>21</v>
      </c>
      <c r="K93" s="69" t="s">
        <v>41</v>
      </c>
      <c r="L93" s="69" t="s">
        <v>28</v>
      </c>
      <c r="M93" s="57">
        <v>44991</v>
      </c>
      <c r="N93" s="64">
        <v>999.95</v>
      </c>
    </row>
    <row r="94" spans="1:14">
      <c r="A94" s="67" t="s">
        <v>222</v>
      </c>
      <c r="B94" s="57">
        <v>45522</v>
      </c>
      <c r="C94" s="69" t="s">
        <v>87</v>
      </c>
      <c r="D94" s="69" t="s">
        <v>88</v>
      </c>
      <c r="E94" s="69" t="s">
        <v>118</v>
      </c>
      <c r="F94" s="69" t="s">
        <v>119</v>
      </c>
      <c r="G94" s="69" t="s">
        <v>20</v>
      </c>
      <c r="H94" s="58">
        <v>2</v>
      </c>
      <c r="I94" s="59">
        <v>89.99</v>
      </c>
      <c r="J94" s="69" t="s">
        <v>21</v>
      </c>
      <c r="K94" s="69" t="s">
        <v>64</v>
      </c>
      <c r="L94" s="69" t="s">
        <v>28</v>
      </c>
      <c r="M94" s="57">
        <v>44972</v>
      </c>
      <c r="N94" s="64">
        <v>179.98</v>
      </c>
    </row>
    <row r="95" spans="1:14">
      <c r="A95" s="67" t="s">
        <v>223</v>
      </c>
      <c r="B95" s="57">
        <v>45523</v>
      </c>
      <c r="C95" s="69" t="s">
        <v>197</v>
      </c>
      <c r="D95" s="69" t="s">
        <v>198</v>
      </c>
      <c r="E95" s="69" t="s">
        <v>62</v>
      </c>
      <c r="F95" s="69" t="s">
        <v>63</v>
      </c>
      <c r="G95" s="69" t="s">
        <v>20</v>
      </c>
      <c r="H95" s="58">
        <v>5</v>
      </c>
      <c r="I95" s="59">
        <v>899.99</v>
      </c>
      <c r="J95" s="69" t="s">
        <v>58</v>
      </c>
      <c r="K95" s="69" t="s">
        <v>64</v>
      </c>
      <c r="L95" s="69" t="s">
        <v>23</v>
      </c>
      <c r="M95" s="57">
        <v>44526</v>
      </c>
      <c r="N95" s="64">
        <v>4499.95</v>
      </c>
    </row>
    <row r="96" spans="1:14">
      <c r="A96" s="67" t="s">
        <v>224</v>
      </c>
      <c r="B96" s="57">
        <v>45523</v>
      </c>
      <c r="C96" s="69" t="s">
        <v>109</v>
      </c>
      <c r="D96" s="69" t="s">
        <v>110</v>
      </c>
      <c r="E96" s="69" t="s">
        <v>53</v>
      </c>
      <c r="F96" s="69" t="s">
        <v>54</v>
      </c>
      <c r="G96" s="69" t="s">
        <v>20</v>
      </c>
      <c r="H96" s="58">
        <v>3</v>
      </c>
      <c r="I96" s="59">
        <v>149.99</v>
      </c>
      <c r="J96" s="69" t="s">
        <v>35</v>
      </c>
      <c r="K96" s="69" t="s">
        <v>64</v>
      </c>
      <c r="L96" s="69" t="s">
        <v>23</v>
      </c>
      <c r="M96" s="57">
        <v>44574</v>
      </c>
      <c r="N96" s="64">
        <v>449.97</v>
      </c>
    </row>
    <row r="97" spans="1:14">
      <c r="A97" s="67" t="s">
        <v>225</v>
      </c>
      <c r="B97" s="57">
        <v>45526</v>
      </c>
      <c r="C97" s="69" t="s">
        <v>103</v>
      </c>
      <c r="D97" s="69" t="s">
        <v>104</v>
      </c>
      <c r="E97" s="69" t="s">
        <v>45</v>
      </c>
      <c r="F97" s="69" t="s">
        <v>46</v>
      </c>
      <c r="G97" s="69" t="s">
        <v>47</v>
      </c>
      <c r="H97" s="58">
        <v>5</v>
      </c>
      <c r="I97" s="59">
        <v>149.99</v>
      </c>
      <c r="J97" s="69" t="s">
        <v>27</v>
      </c>
      <c r="K97" s="69" t="s">
        <v>22</v>
      </c>
      <c r="L97" s="69" t="s">
        <v>23</v>
      </c>
      <c r="M97" s="57">
        <v>45310</v>
      </c>
      <c r="N97" s="64">
        <v>749.95</v>
      </c>
    </row>
    <row r="98" spans="1:14">
      <c r="A98" s="67" t="s">
        <v>226</v>
      </c>
      <c r="B98" s="57">
        <v>45528</v>
      </c>
      <c r="C98" s="69" t="s">
        <v>227</v>
      </c>
      <c r="D98" s="69" t="s">
        <v>228</v>
      </c>
      <c r="E98" s="69" t="s">
        <v>115</v>
      </c>
      <c r="F98" s="69" t="s">
        <v>116</v>
      </c>
      <c r="G98" s="69" t="s">
        <v>34</v>
      </c>
      <c r="H98" s="58">
        <v>3</v>
      </c>
      <c r="I98" s="59">
        <v>79.989999999999995</v>
      </c>
      <c r="J98" s="69" t="s">
        <v>21</v>
      </c>
      <c r="K98" s="69" t="s">
        <v>22</v>
      </c>
      <c r="L98" s="69" t="s">
        <v>28</v>
      </c>
      <c r="M98" s="57">
        <v>44779</v>
      </c>
      <c r="N98" s="64">
        <v>239.97</v>
      </c>
    </row>
    <row r="99" spans="1:14">
      <c r="A99" s="67" t="s">
        <v>229</v>
      </c>
      <c r="B99" s="57">
        <v>45528</v>
      </c>
      <c r="C99" s="69" t="s">
        <v>145</v>
      </c>
      <c r="D99" s="69" t="s">
        <v>146</v>
      </c>
      <c r="E99" s="69" t="s">
        <v>18</v>
      </c>
      <c r="F99" s="69" t="s">
        <v>19</v>
      </c>
      <c r="G99" s="69" t="s">
        <v>20</v>
      </c>
      <c r="H99" s="58">
        <v>2</v>
      </c>
      <c r="I99" s="59">
        <v>249.99</v>
      </c>
      <c r="J99" s="69" t="s">
        <v>21</v>
      </c>
      <c r="K99" s="69" t="s">
        <v>36</v>
      </c>
      <c r="L99" s="69" t="s">
        <v>37</v>
      </c>
      <c r="M99" s="57">
        <v>44572</v>
      </c>
      <c r="N99" s="64">
        <v>499.98</v>
      </c>
    </row>
    <row r="100" spans="1:14">
      <c r="A100" s="67" t="s">
        <v>230</v>
      </c>
      <c r="B100" s="57">
        <v>45532</v>
      </c>
      <c r="C100" s="69" t="s">
        <v>197</v>
      </c>
      <c r="D100" s="69" t="s">
        <v>198</v>
      </c>
      <c r="E100" s="69" t="s">
        <v>81</v>
      </c>
      <c r="F100" s="69" t="s">
        <v>82</v>
      </c>
      <c r="G100" s="69" t="s">
        <v>20</v>
      </c>
      <c r="H100" s="58">
        <v>1</v>
      </c>
      <c r="I100" s="59">
        <v>699.99</v>
      </c>
      <c r="J100" s="69" t="s">
        <v>21</v>
      </c>
      <c r="K100" s="69" t="s">
        <v>22</v>
      </c>
      <c r="L100" s="69" t="s">
        <v>28</v>
      </c>
      <c r="M100" s="57">
        <v>44497</v>
      </c>
      <c r="N100" s="64">
        <v>699.99</v>
      </c>
    </row>
    <row r="101" spans="1:14">
      <c r="A101" s="67" t="s">
        <v>231</v>
      </c>
      <c r="B101" s="57">
        <v>45532</v>
      </c>
      <c r="C101" s="69" t="s">
        <v>232</v>
      </c>
      <c r="D101" s="69" t="s">
        <v>233</v>
      </c>
      <c r="E101" s="69" t="s">
        <v>53</v>
      </c>
      <c r="F101" s="69" t="s">
        <v>54</v>
      </c>
      <c r="G101" s="69" t="s">
        <v>20</v>
      </c>
      <c r="H101" s="58">
        <v>3</v>
      </c>
      <c r="I101" s="59">
        <v>149.99</v>
      </c>
      <c r="J101" s="69" t="s">
        <v>21</v>
      </c>
      <c r="K101" s="69" t="s">
        <v>51</v>
      </c>
      <c r="L101" s="69" t="s">
        <v>28</v>
      </c>
      <c r="M101" s="57">
        <v>45212</v>
      </c>
      <c r="N101" s="64">
        <v>449.97</v>
      </c>
    </row>
    <row r="102" spans="1:14">
      <c r="A102" s="67" t="s">
        <v>234</v>
      </c>
      <c r="B102" s="57">
        <v>45534</v>
      </c>
      <c r="C102" s="69" t="s">
        <v>235</v>
      </c>
      <c r="D102" s="69" t="s">
        <v>236</v>
      </c>
      <c r="E102" s="69" t="s">
        <v>81</v>
      </c>
      <c r="F102" s="69" t="s">
        <v>82</v>
      </c>
      <c r="G102" s="69" t="s">
        <v>20</v>
      </c>
      <c r="H102" s="58">
        <v>2</v>
      </c>
      <c r="I102" s="59">
        <v>699.99</v>
      </c>
      <c r="J102" s="69" t="s">
        <v>27</v>
      </c>
      <c r="K102" s="69" t="s">
        <v>41</v>
      </c>
      <c r="L102" s="69" t="s">
        <v>28</v>
      </c>
      <c r="M102" s="57">
        <v>44421</v>
      </c>
      <c r="N102" s="64">
        <v>1399.98</v>
      </c>
    </row>
    <row r="103" spans="1:14">
      <c r="A103" s="67" t="s">
        <v>237</v>
      </c>
      <c r="B103" s="57">
        <v>45537</v>
      </c>
      <c r="C103" s="69" t="s">
        <v>232</v>
      </c>
      <c r="D103" s="69" t="s">
        <v>233</v>
      </c>
      <c r="E103" s="69" t="s">
        <v>18</v>
      </c>
      <c r="F103" s="69" t="s">
        <v>19</v>
      </c>
      <c r="G103" s="69" t="s">
        <v>20</v>
      </c>
      <c r="H103" s="58">
        <v>1</v>
      </c>
      <c r="I103" s="59">
        <v>249.99</v>
      </c>
      <c r="J103" s="69" t="s">
        <v>27</v>
      </c>
      <c r="K103" s="69" t="s">
        <v>51</v>
      </c>
      <c r="L103" s="69" t="s">
        <v>28</v>
      </c>
      <c r="M103" s="57">
        <v>44685</v>
      </c>
      <c r="N103" s="64">
        <v>249.99</v>
      </c>
    </row>
    <row r="104" spans="1:14">
      <c r="A104" s="67" t="s">
        <v>238</v>
      </c>
      <c r="B104" s="57">
        <v>45537</v>
      </c>
      <c r="C104" s="69" t="s">
        <v>16</v>
      </c>
      <c r="D104" s="69" t="s">
        <v>17</v>
      </c>
      <c r="E104" s="69" t="s">
        <v>18</v>
      </c>
      <c r="F104" s="69" t="s">
        <v>19</v>
      </c>
      <c r="G104" s="69" t="s">
        <v>20</v>
      </c>
      <c r="H104" s="58">
        <v>1</v>
      </c>
      <c r="I104" s="59">
        <v>249.99</v>
      </c>
      <c r="J104" s="69" t="s">
        <v>58</v>
      </c>
      <c r="K104" s="69" t="s">
        <v>41</v>
      </c>
      <c r="L104" s="69" t="s">
        <v>28</v>
      </c>
      <c r="M104" s="57">
        <v>45332</v>
      </c>
      <c r="N104" s="64">
        <v>249.99</v>
      </c>
    </row>
    <row r="105" spans="1:14">
      <c r="A105" s="67" t="s">
        <v>239</v>
      </c>
      <c r="B105" s="57">
        <v>45538</v>
      </c>
      <c r="C105" s="69" t="s">
        <v>227</v>
      </c>
      <c r="D105" s="69" t="s">
        <v>228</v>
      </c>
      <c r="E105" s="69" t="s">
        <v>81</v>
      </c>
      <c r="F105" s="69" t="s">
        <v>82</v>
      </c>
      <c r="G105" s="69" t="s">
        <v>20</v>
      </c>
      <c r="H105" s="58">
        <v>2</v>
      </c>
      <c r="I105" s="59">
        <v>699.99</v>
      </c>
      <c r="J105" s="69" t="s">
        <v>58</v>
      </c>
      <c r="K105" s="69" t="s">
        <v>22</v>
      </c>
      <c r="L105" s="69" t="s">
        <v>28</v>
      </c>
      <c r="M105" s="57">
        <v>44870</v>
      </c>
      <c r="N105" s="64">
        <v>1399.98</v>
      </c>
    </row>
    <row r="106" spans="1:14">
      <c r="A106" s="67" t="s">
        <v>240</v>
      </c>
      <c r="B106" s="57">
        <v>45541</v>
      </c>
      <c r="C106" s="69" t="s">
        <v>139</v>
      </c>
      <c r="D106" s="69" t="s">
        <v>140</v>
      </c>
      <c r="E106" s="69" t="s">
        <v>32</v>
      </c>
      <c r="F106" s="69" t="s">
        <v>33</v>
      </c>
      <c r="G106" s="69" t="s">
        <v>34</v>
      </c>
      <c r="H106" s="58">
        <v>3</v>
      </c>
      <c r="I106" s="59">
        <v>59.99</v>
      </c>
      <c r="J106" s="69" t="s">
        <v>27</v>
      </c>
      <c r="K106" s="69" t="s">
        <v>22</v>
      </c>
      <c r="L106" s="69" t="s">
        <v>28</v>
      </c>
      <c r="M106" s="57">
        <v>44717</v>
      </c>
      <c r="N106" s="64">
        <v>179.97</v>
      </c>
    </row>
    <row r="107" spans="1:14">
      <c r="A107" s="67" t="s">
        <v>241</v>
      </c>
      <c r="B107" s="57">
        <v>45544</v>
      </c>
      <c r="C107" s="69" t="s">
        <v>133</v>
      </c>
      <c r="D107" s="69" t="s">
        <v>134</v>
      </c>
      <c r="E107" s="69" t="s">
        <v>32</v>
      </c>
      <c r="F107" s="69" t="s">
        <v>33</v>
      </c>
      <c r="G107" s="69" t="s">
        <v>34</v>
      </c>
      <c r="H107" s="58">
        <v>3</v>
      </c>
      <c r="I107" s="59">
        <v>59.99</v>
      </c>
      <c r="J107" s="69" t="s">
        <v>35</v>
      </c>
      <c r="K107" s="69" t="s">
        <v>64</v>
      </c>
      <c r="L107" s="69" t="s">
        <v>37</v>
      </c>
      <c r="M107" s="57">
        <v>44748</v>
      </c>
      <c r="N107" s="64">
        <v>179.97</v>
      </c>
    </row>
    <row r="108" spans="1:14">
      <c r="A108" s="67" t="s">
        <v>242</v>
      </c>
      <c r="B108" s="57">
        <v>45544</v>
      </c>
      <c r="C108" s="69" t="s">
        <v>142</v>
      </c>
      <c r="D108" s="69" t="s">
        <v>143</v>
      </c>
      <c r="E108" s="69" t="s">
        <v>115</v>
      </c>
      <c r="F108" s="69" t="s">
        <v>116</v>
      </c>
      <c r="G108" s="69" t="s">
        <v>34</v>
      </c>
      <c r="H108" s="58">
        <v>4</v>
      </c>
      <c r="I108" s="59">
        <v>79.989999999999995</v>
      </c>
      <c r="J108" s="69" t="s">
        <v>21</v>
      </c>
      <c r="K108" s="69" t="s">
        <v>41</v>
      </c>
      <c r="L108" s="69" t="s">
        <v>23</v>
      </c>
      <c r="M108" s="57">
        <v>44530</v>
      </c>
      <c r="N108" s="64">
        <v>319.95999999999998</v>
      </c>
    </row>
    <row r="109" spans="1:14">
      <c r="A109" s="67" t="s">
        <v>243</v>
      </c>
      <c r="B109" s="57">
        <v>45545</v>
      </c>
      <c r="C109" s="69" t="s">
        <v>56</v>
      </c>
      <c r="D109" s="69" t="s">
        <v>57</v>
      </c>
      <c r="E109" s="69" t="s">
        <v>115</v>
      </c>
      <c r="F109" s="69" t="s">
        <v>116</v>
      </c>
      <c r="G109" s="69" t="s">
        <v>34</v>
      </c>
      <c r="H109" s="58">
        <v>1</v>
      </c>
      <c r="I109" s="59">
        <v>79.989999999999995</v>
      </c>
      <c r="J109" s="69" t="s">
        <v>21</v>
      </c>
      <c r="K109" s="69" t="s">
        <v>51</v>
      </c>
      <c r="L109" s="69" t="s">
        <v>23</v>
      </c>
      <c r="M109" s="57">
        <v>44693</v>
      </c>
      <c r="N109" s="64">
        <v>79.989999999999995</v>
      </c>
    </row>
    <row r="110" spans="1:14">
      <c r="A110" s="67" t="s">
        <v>244</v>
      </c>
      <c r="B110" s="57">
        <v>45547</v>
      </c>
      <c r="C110" s="69" t="s">
        <v>49</v>
      </c>
      <c r="D110" s="69" t="s">
        <v>50</v>
      </c>
      <c r="E110" s="69" t="s">
        <v>106</v>
      </c>
      <c r="F110" s="69" t="s">
        <v>107</v>
      </c>
      <c r="G110" s="69" t="s">
        <v>47</v>
      </c>
      <c r="H110" s="58">
        <v>3</v>
      </c>
      <c r="I110" s="59">
        <v>299.99</v>
      </c>
      <c r="J110" s="69" t="s">
        <v>27</v>
      </c>
      <c r="K110" s="69" t="s">
        <v>22</v>
      </c>
      <c r="L110" s="69" t="s">
        <v>28</v>
      </c>
      <c r="M110" s="57">
        <v>44494</v>
      </c>
      <c r="N110" s="64">
        <v>899.97</v>
      </c>
    </row>
    <row r="111" spans="1:14">
      <c r="A111" s="67" t="s">
        <v>245</v>
      </c>
      <c r="B111" s="57">
        <v>45548</v>
      </c>
      <c r="C111" s="69" t="s">
        <v>39</v>
      </c>
      <c r="D111" s="69" t="s">
        <v>40</v>
      </c>
      <c r="E111" s="69" t="s">
        <v>118</v>
      </c>
      <c r="F111" s="69" t="s">
        <v>119</v>
      </c>
      <c r="G111" s="69" t="s">
        <v>20</v>
      </c>
      <c r="H111" s="58">
        <v>2</v>
      </c>
      <c r="I111" s="59">
        <v>89.99</v>
      </c>
      <c r="J111" s="69" t="s">
        <v>27</v>
      </c>
      <c r="K111" s="69" t="s">
        <v>36</v>
      </c>
      <c r="L111" s="69" t="s">
        <v>28</v>
      </c>
      <c r="M111" s="57">
        <v>44641</v>
      </c>
      <c r="N111" s="64">
        <v>179.98</v>
      </c>
    </row>
    <row r="112" spans="1:14">
      <c r="A112" s="67" t="s">
        <v>246</v>
      </c>
      <c r="B112" s="57">
        <v>45550</v>
      </c>
      <c r="C112" s="69" t="s">
        <v>247</v>
      </c>
      <c r="D112" s="69" t="s">
        <v>248</v>
      </c>
      <c r="E112" s="69" t="s">
        <v>53</v>
      </c>
      <c r="F112" s="69" t="s">
        <v>54</v>
      </c>
      <c r="G112" s="69" t="s">
        <v>20</v>
      </c>
      <c r="H112" s="58">
        <v>4</v>
      </c>
      <c r="I112" s="59">
        <v>149.99</v>
      </c>
      <c r="J112" s="69" t="s">
        <v>21</v>
      </c>
      <c r="K112" s="69" t="s">
        <v>41</v>
      </c>
      <c r="L112" s="69" t="s">
        <v>23</v>
      </c>
      <c r="M112" s="57">
        <v>44909</v>
      </c>
      <c r="N112" s="64">
        <v>599.96</v>
      </c>
    </row>
    <row r="113" spans="1:14">
      <c r="A113" s="67" t="s">
        <v>249</v>
      </c>
      <c r="B113" s="57">
        <v>45551</v>
      </c>
      <c r="C113" s="69" t="s">
        <v>66</v>
      </c>
      <c r="D113" s="69" t="s">
        <v>67</v>
      </c>
      <c r="E113" s="69" t="s">
        <v>18</v>
      </c>
      <c r="F113" s="69" t="s">
        <v>19</v>
      </c>
      <c r="G113" s="69" t="s">
        <v>20</v>
      </c>
      <c r="H113" s="58">
        <v>2</v>
      </c>
      <c r="I113" s="59">
        <v>249.99</v>
      </c>
      <c r="J113" s="69" t="s">
        <v>35</v>
      </c>
      <c r="K113" s="69" t="s">
        <v>36</v>
      </c>
      <c r="L113" s="69" t="s">
        <v>23</v>
      </c>
      <c r="M113" s="57">
        <v>44993</v>
      </c>
      <c r="N113" s="64">
        <v>499.98</v>
      </c>
    </row>
    <row r="114" spans="1:14">
      <c r="A114" s="67" t="s">
        <v>250</v>
      </c>
      <c r="B114" s="57">
        <v>45551</v>
      </c>
      <c r="C114" s="69" t="s">
        <v>155</v>
      </c>
      <c r="D114" s="69" t="s">
        <v>156</v>
      </c>
      <c r="E114" s="69" t="s">
        <v>127</v>
      </c>
      <c r="F114" s="69" t="s">
        <v>128</v>
      </c>
      <c r="G114" s="69" t="s">
        <v>47</v>
      </c>
      <c r="H114" s="58">
        <v>4</v>
      </c>
      <c r="I114" s="59">
        <v>199.99</v>
      </c>
      <c r="J114" s="69" t="s">
        <v>58</v>
      </c>
      <c r="K114" s="69" t="s">
        <v>64</v>
      </c>
      <c r="L114" s="69" t="s">
        <v>23</v>
      </c>
      <c r="M114" s="57">
        <v>44458</v>
      </c>
      <c r="N114" s="64">
        <v>799.96</v>
      </c>
    </row>
    <row r="115" spans="1:14">
      <c r="A115" s="67" t="s">
        <v>251</v>
      </c>
      <c r="B115" s="57">
        <v>45554</v>
      </c>
      <c r="C115" s="69" t="s">
        <v>148</v>
      </c>
      <c r="D115" s="69" t="s">
        <v>149</v>
      </c>
      <c r="E115" s="69" t="s">
        <v>118</v>
      </c>
      <c r="F115" s="69" t="s">
        <v>119</v>
      </c>
      <c r="G115" s="69" t="s">
        <v>20</v>
      </c>
      <c r="H115" s="58">
        <v>5</v>
      </c>
      <c r="I115" s="59">
        <v>89.99</v>
      </c>
      <c r="J115" s="69" t="s">
        <v>27</v>
      </c>
      <c r="K115" s="69" t="s">
        <v>64</v>
      </c>
      <c r="L115" s="69" t="s">
        <v>28</v>
      </c>
      <c r="M115" s="57">
        <v>44446</v>
      </c>
      <c r="N115" s="64">
        <v>449.95</v>
      </c>
    </row>
    <row r="116" spans="1:14">
      <c r="A116" s="67" t="s">
        <v>252</v>
      </c>
      <c r="B116" s="57">
        <v>45554</v>
      </c>
      <c r="C116" s="69" t="s">
        <v>253</v>
      </c>
      <c r="D116" s="69" t="s">
        <v>254</v>
      </c>
      <c r="E116" s="69" t="s">
        <v>53</v>
      </c>
      <c r="F116" s="69" t="s">
        <v>54</v>
      </c>
      <c r="G116" s="69" t="s">
        <v>20</v>
      </c>
      <c r="H116" s="58">
        <v>1</v>
      </c>
      <c r="I116" s="59">
        <v>149.99</v>
      </c>
      <c r="J116" s="69" t="s">
        <v>35</v>
      </c>
      <c r="K116" s="69" t="s">
        <v>64</v>
      </c>
      <c r="L116" s="69" t="s">
        <v>37</v>
      </c>
      <c r="M116" s="57">
        <v>44482</v>
      </c>
      <c r="N116" s="64">
        <v>149.99</v>
      </c>
    </row>
    <row r="117" spans="1:14">
      <c r="A117" s="67" t="s">
        <v>255</v>
      </c>
      <c r="B117" s="57">
        <v>45554</v>
      </c>
      <c r="C117" s="69" t="s">
        <v>73</v>
      </c>
      <c r="D117" s="69" t="s">
        <v>74</v>
      </c>
      <c r="E117" s="69" t="s">
        <v>81</v>
      </c>
      <c r="F117" s="69" t="s">
        <v>82</v>
      </c>
      <c r="G117" s="69" t="s">
        <v>20</v>
      </c>
      <c r="H117" s="58">
        <v>4</v>
      </c>
      <c r="I117" s="59">
        <v>699.99</v>
      </c>
      <c r="J117" s="69" t="s">
        <v>35</v>
      </c>
      <c r="K117" s="69" t="s">
        <v>36</v>
      </c>
      <c r="L117" s="69" t="s">
        <v>23</v>
      </c>
      <c r="M117" s="57">
        <v>44618</v>
      </c>
      <c r="N117" s="64">
        <v>2799.96</v>
      </c>
    </row>
    <row r="118" spans="1:14">
      <c r="A118" s="67" t="s">
        <v>256</v>
      </c>
      <c r="B118" s="57">
        <v>45559</v>
      </c>
      <c r="C118" s="69" t="s">
        <v>235</v>
      </c>
      <c r="D118" s="69" t="s">
        <v>236</v>
      </c>
      <c r="E118" s="69" t="s">
        <v>62</v>
      </c>
      <c r="F118" s="69" t="s">
        <v>63</v>
      </c>
      <c r="G118" s="69" t="s">
        <v>20</v>
      </c>
      <c r="H118" s="58">
        <v>3</v>
      </c>
      <c r="I118" s="59">
        <v>899.99</v>
      </c>
      <c r="J118" s="69" t="s">
        <v>27</v>
      </c>
      <c r="K118" s="69" t="s">
        <v>41</v>
      </c>
      <c r="L118" s="69" t="s">
        <v>37</v>
      </c>
      <c r="M118" s="57">
        <v>45157</v>
      </c>
      <c r="N118" s="64">
        <v>2699.97</v>
      </c>
    </row>
    <row r="119" spans="1:14">
      <c r="A119" s="67" t="s">
        <v>257</v>
      </c>
      <c r="B119" s="57">
        <v>45560</v>
      </c>
      <c r="C119" s="69" t="s">
        <v>113</v>
      </c>
      <c r="D119" s="69" t="s">
        <v>114</v>
      </c>
      <c r="E119" s="69" t="s">
        <v>45</v>
      </c>
      <c r="F119" s="69" t="s">
        <v>46</v>
      </c>
      <c r="G119" s="69" t="s">
        <v>47</v>
      </c>
      <c r="H119" s="58">
        <v>3</v>
      </c>
      <c r="I119" s="59">
        <v>149.99</v>
      </c>
      <c r="J119" s="69" t="s">
        <v>35</v>
      </c>
      <c r="K119" s="69" t="s">
        <v>64</v>
      </c>
      <c r="L119" s="69" t="s">
        <v>23</v>
      </c>
      <c r="M119" s="57">
        <v>44886</v>
      </c>
      <c r="N119" s="64">
        <v>449.97</v>
      </c>
    </row>
    <row r="120" spans="1:14">
      <c r="A120" s="67" t="s">
        <v>258</v>
      </c>
      <c r="B120" s="57">
        <v>45563</v>
      </c>
      <c r="C120" s="69" t="s">
        <v>100</v>
      </c>
      <c r="D120" s="69" t="s">
        <v>101</v>
      </c>
      <c r="E120" s="69" t="s">
        <v>106</v>
      </c>
      <c r="F120" s="69" t="s">
        <v>107</v>
      </c>
      <c r="G120" s="69" t="s">
        <v>47</v>
      </c>
      <c r="H120" s="58">
        <v>2</v>
      </c>
      <c r="I120" s="59">
        <v>299.99</v>
      </c>
      <c r="J120" s="69" t="s">
        <v>58</v>
      </c>
      <c r="K120" s="69" t="s">
        <v>22</v>
      </c>
      <c r="L120" s="69" t="s">
        <v>23</v>
      </c>
      <c r="M120" s="57">
        <v>44569</v>
      </c>
      <c r="N120" s="64">
        <v>599.98</v>
      </c>
    </row>
    <row r="121" spans="1:14">
      <c r="A121" s="67" t="s">
        <v>259</v>
      </c>
      <c r="B121" s="57">
        <v>45564</v>
      </c>
      <c r="C121" s="69" t="s">
        <v>260</v>
      </c>
      <c r="D121" s="69" t="s">
        <v>261</v>
      </c>
      <c r="E121" s="69" t="s">
        <v>127</v>
      </c>
      <c r="F121" s="69" t="s">
        <v>128</v>
      </c>
      <c r="G121" s="69" t="s">
        <v>47</v>
      </c>
      <c r="H121" s="58">
        <v>1</v>
      </c>
      <c r="I121" s="59">
        <v>199.99</v>
      </c>
      <c r="J121" s="69" t="s">
        <v>58</v>
      </c>
      <c r="K121" s="69" t="s">
        <v>64</v>
      </c>
      <c r="L121" s="69" t="s">
        <v>37</v>
      </c>
      <c r="M121" s="57">
        <v>44953</v>
      </c>
      <c r="N121" s="64">
        <v>199.99</v>
      </c>
    </row>
    <row r="122" spans="1:14">
      <c r="A122" s="67" t="s">
        <v>262</v>
      </c>
      <c r="B122" s="57">
        <v>45566</v>
      </c>
      <c r="C122" s="69" t="s">
        <v>43</v>
      </c>
      <c r="D122" s="69" t="s">
        <v>44</v>
      </c>
      <c r="E122" s="69" t="s">
        <v>106</v>
      </c>
      <c r="F122" s="69" t="s">
        <v>107</v>
      </c>
      <c r="G122" s="69" t="s">
        <v>47</v>
      </c>
      <c r="H122" s="58">
        <v>4</v>
      </c>
      <c r="I122" s="59">
        <v>299.99</v>
      </c>
      <c r="J122" s="69" t="s">
        <v>21</v>
      </c>
      <c r="K122" s="69" t="s">
        <v>22</v>
      </c>
      <c r="L122" s="69" t="s">
        <v>28</v>
      </c>
      <c r="M122" s="57">
        <v>44460</v>
      </c>
      <c r="N122" s="64">
        <v>1199.96</v>
      </c>
    </row>
    <row r="123" spans="1:14">
      <c r="A123" s="67" t="s">
        <v>263</v>
      </c>
      <c r="B123" s="57">
        <v>45572</v>
      </c>
      <c r="C123" s="69" t="s">
        <v>90</v>
      </c>
      <c r="D123" s="69" t="s">
        <v>91</v>
      </c>
      <c r="E123" s="69" t="s">
        <v>32</v>
      </c>
      <c r="F123" s="69" t="s">
        <v>33</v>
      </c>
      <c r="G123" s="69" t="s">
        <v>34</v>
      </c>
      <c r="H123" s="58">
        <v>2</v>
      </c>
      <c r="I123" s="59">
        <v>59.99</v>
      </c>
      <c r="J123" s="69" t="s">
        <v>27</v>
      </c>
      <c r="K123" s="69" t="s">
        <v>22</v>
      </c>
      <c r="L123" s="69" t="s">
        <v>23</v>
      </c>
      <c r="M123" s="57">
        <v>44579</v>
      </c>
      <c r="N123" s="64">
        <v>119.98</v>
      </c>
    </row>
    <row r="124" spans="1:14">
      <c r="A124" s="67" t="s">
        <v>264</v>
      </c>
      <c r="B124" s="57">
        <v>45572</v>
      </c>
      <c r="C124" s="69" t="s">
        <v>235</v>
      </c>
      <c r="D124" s="69" t="s">
        <v>236</v>
      </c>
      <c r="E124" s="69" t="s">
        <v>53</v>
      </c>
      <c r="F124" s="69" t="s">
        <v>54</v>
      </c>
      <c r="G124" s="69" t="s">
        <v>20</v>
      </c>
      <c r="H124" s="58">
        <v>4</v>
      </c>
      <c r="I124" s="59">
        <v>149.99</v>
      </c>
      <c r="J124" s="69" t="s">
        <v>27</v>
      </c>
      <c r="K124" s="69" t="s">
        <v>41</v>
      </c>
      <c r="L124" s="69" t="s">
        <v>28</v>
      </c>
      <c r="M124" s="57">
        <v>45076</v>
      </c>
      <c r="N124" s="64">
        <v>599.96</v>
      </c>
    </row>
    <row r="125" spans="1:14">
      <c r="A125" s="67" t="s">
        <v>265</v>
      </c>
      <c r="B125" s="57">
        <v>45573</v>
      </c>
      <c r="C125" s="69" t="s">
        <v>212</v>
      </c>
      <c r="D125" s="69" t="s">
        <v>213</v>
      </c>
      <c r="E125" s="69" t="s">
        <v>81</v>
      </c>
      <c r="F125" s="69" t="s">
        <v>82</v>
      </c>
      <c r="G125" s="69" t="s">
        <v>20</v>
      </c>
      <c r="H125" s="58">
        <v>2</v>
      </c>
      <c r="I125" s="59">
        <v>699.99</v>
      </c>
      <c r="J125" s="69" t="s">
        <v>58</v>
      </c>
      <c r="K125" s="69" t="s">
        <v>64</v>
      </c>
      <c r="L125" s="69" t="s">
        <v>28</v>
      </c>
      <c r="M125" s="57">
        <v>45274</v>
      </c>
      <c r="N125" s="64">
        <v>1399.98</v>
      </c>
    </row>
    <row r="126" spans="1:14">
      <c r="A126" s="67" t="s">
        <v>266</v>
      </c>
      <c r="B126" s="57">
        <v>45573</v>
      </c>
      <c r="C126" s="69" t="s">
        <v>232</v>
      </c>
      <c r="D126" s="69" t="s">
        <v>233</v>
      </c>
      <c r="E126" s="69" t="s">
        <v>45</v>
      </c>
      <c r="F126" s="69" t="s">
        <v>46</v>
      </c>
      <c r="G126" s="69" t="s">
        <v>47</v>
      </c>
      <c r="H126" s="58">
        <v>3</v>
      </c>
      <c r="I126" s="59">
        <v>149.99</v>
      </c>
      <c r="J126" s="69" t="s">
        <v>27</v>
      </c>
      <c r="K126" s="69" t="s">
        <v>36</v>
      </c>
      <c r="L126" s="69" t="s">
        <v>37</v>
      </c>
      <c r="M126" s="57">
        <v>44940</v>
      </c>
      <c r="N126" s="64">
        <v>449.97</v>
      </c>
    </row>
    <row r="127" spans="1:14">
      <c r="A127" s="67" t="s">
        <v>267</v>
      </c>
      <c r="B127" s="57">
        <v>45576</v>
      </c>
      <c r="C127" s="69" t="s">
        <v>148</v>
      </c>
      <c r="D127" s="69" t="s">
        <v>149</v>
      </c>
      <c r="E127" s="69" t="s">
        <v>106</v>
      </c>
      <c r="F127" s="69" t="s">
        <v>107</v>
      </c>
      <c r="G127" s="69" t="s">
        <v>47</v>
      </c>
      <c r="H127" s="58">
        <v>3</v>
      </c>
      <c r="I127" s="59">
        <v>299.99</v>
      </c>
      <c r="J127" s="69" t="s">
        <v>27</v>
      </c>
      <c r="K127" s="69" t="s">
        <v>22</v>
      </c>
      <c r="L127" s="69" t="s">
        <v>37</v>
      </c>
      <c r="M127" s="57">
        <v>45174</v>
      </c>
      <c r="N127" s="64">
        <v>899.97</v>
      </c>
    </row>
    <row r="128" spans="1:14">
      <c r="A128" s="67" t="s">
        <v>268</v>
      </c>
      <c r="B128" s="57">
        <v>45579</v>
      </c>
      <c r="C128" s="69" t="s">
        <v>84</v>
      </c>
      <c r="D128" s="69" t="s">
        <v>85</v>
      </c>
      <c r="E128" s="69" t="s">
        <v>62</v>
      </c>
      <c r="F128" s="69" t="s">
        <v>63</v>
      </c>
      <c r="G128" s="69" t="s">
        <v>20</v>
      </c>
      <c r="H128" s="58">
        <v>3</v>
      </c>
      <c r="I128" s="59">
        <v>899.99</v>
      </c>
      <c r="J128" s="69" t="s">
        <v>35</v>
      </c>
      <c r="K128" s="69" t="s">
        <v>51</v>
      </c>
      <c r="L128" s="69" t="s">
        <v>23</v>
      </c>
      <c r="M128" s="57">
        <v>45215</v>
      </c>
      <c r="N128" s="64">
        <v>2699.97</v>
      </c>
    </row>
    <row r="129" spans="1:14">
      <c r="A129" s="67" t="s">
        <v>269</v>
      </c>
      <c r="B129" s="57">
        <v>45581</v>
      </c>
      <c r="C129" s="69" t="s">
        <v>97</v>
      </c>
      <c r="D129" s="69" t="s">
        <v>98</v>
      </c>
      <c r="E129" s="69" t="s">
        <v>81</v>
      </c>
      <c r="F129" s="69" t="s">
        <v>82</v>
      </c>
      <c r="G129" s="69" t="s">
        <v>20</v>
      </c>
      <c r="H129" s="58">
        <v>5</v>
      </c>
      <c r="I129" s="59">
        <v>699.99</v>
      </c>
      <c r="J129" s="69" t="s">
        <v>21</v>
      </c>
      <c r="K129" s="69" t="s">
        <v>64</v>
      </c>
      <c r="L129" s="69" t="s">
        <v>37</v>
      </c>
      <c r="M129" s="57">
        <v>45008</v>
      </c>
      <c r="N129" s="64">
        <v>3499.95</v>
      </c>
    </row>
    <row r="130" spans="1:14">
      <c r="A130" s="67" t="s">
        <v>270</v>
      </c>
      <c r="B130" s="57">
        <v>45581</v>
      </c>
      <c r="C130" s="69" t="s">
        <v>172</v>
      </c>
      <c r="D130" s="69" t="s">
        <v>173</v>
      </c>
      <c r="E130" s="69" t="s">
        <v>81</v>
      </c>
      <c r="F130" s="69" t="s">
        <v>82</v>
      </c>
      <c r="G130" s="69" t="s">
        <v>20</v>
      </c>
      <c r="H130" s="58">
        <v>4</v>
      </c>
      <c r="I130" s="59">
        <v>699.99</v>
      </c>
      <c r="J130" s="69" t="s">
        <v>27</v>
      </c>
      <c r="K130" s="69" t="s">
        <v>22</v>
      </c>
      <c r="L130" s="69" t="s">
        <v>23</v>
      </c>
      <c r="M130" s="57">
        <v>45385</v>
      </c>
      <c r="N130" s="64">
        <v>2799.96</v>
      </c>
    </row>
    <row r="131" spans="1:14">
      <c r="A131" s="67" t="s">
        <v>271</v>
      </c>
      <c r="B131" s="57">
        <v>45581</v>
      </c>
      <c r="C131" s="69" t="s">
        <v>151</v>
      </c>
      <c r="D131" s="69" t="s">
        <v>152</v>
      </c>
      <c r="E131" s="69" t="s">
        <v>62</v>
      </c>
      <c r="F131" s="69" t="s">
        <v>63</v>
      </c>
      <c r="G131" s="69" t="s">
        <v>20</v>
      </c>
      <c r="H131" s="58">
        <v>1</v>
      </c>
      <c r="I131" s="59">
        <v>899.99</v>
      </c>
      <c r="J131" s="69" t="s">
        <v>27</v>
      </c>
      <c r="K131" s="69" t="s">
        <v>64</v>
      </c>
      <c r="L131" s="69" t="s">
        <v>37</v>
      </c>
      <c r="M131" s="57">
        <v>45369</v>
      </c>
      <c r="N131" s="64">
        <v>899.99</v>
      </c>
    </row>
    <row r="132" spans="1:14">
      <c r="A132" s="67" t="s">
        <v>272</v>
      </c>
      <c r="B132" s="57">
        <v>45583</v>
      </c>
      <c r="C132" s="69" t="s">
        <v>227</v>
      </c>
      <c r="D132" s="69" t="s">
        <v>228</v>
      </c>
      <c r="E132" s="69" t="s">
        <v>53</v>
      </c>
      <c r="F132" s="69" t="s">
        <v>54</v>
      </c>
      <c r="G132" s="69" t="s">
        <v>20</v>
      </c>
      <c r="H132" s="58">
        <v>2</v>
      </c>
      <c r="I132" s="59">
        <v>149.99</v>
      </c>
      <c r="J132" s="69" t="s">
        <v>27</v>
      </c>
      <c r="K132" s="69" t="s">
        <v>51</v>
      </c>
      <c r="L132" s="69" t="s">
        <v>23</v>
      </c>
      <c r="M132" s="57">
        <v>44916</v>
      </c>
      <c r="N132" s="64">
        <v>299.98</v>
      </c>
    </row>
    <row r="133" spans="1:14">
      <c r="A133" s="67" t="s">
        <v>273</v>
      </c>
      <c r="B133" s="57">
        <v>45586</v>
      </c>
      <c r="C133" s="69" t="s">
        <v>227</v>
      </c>
      <c r="D133" s="69" t="s">
        <v>228</v>
      </c>
      <c r="E133" s="69" t="s">
        <v>118</v>
      </c>
      <c r="F133" s="69" t="s">
        <v>119</v>
      </c>
      <c r="G133" s="69" t="s">
        <v>20</v>
      </c>
      <c r="H133" s="58">
        <v>3</v>
      </c>
      <c r="I133" s="59">
        <v>89.99</v>
      </c>
      <c r="J133" s="69" t="s">
        <v>35</v>
      </c>
      <c r="K133" s="69" t="s">
        <v>22</v>
      </c>
      <c r="L133" s="69" t="s">
        <v>23</v>
      </c>
      <c r="M133" s="57">
        <v>44551</v>
      </c>
      <c r="N133" s="64">
        <v>269.97000000000003</v>
      </c>
    </row>
    <row r="134" spans="1:14">
      <c r="A134" s="67" t="s">
        <v>274</v>
      </c>
      <c r="B134" s="57">
        <v>45588</v>
      </c>
      <c r="C134" s="69" t="s">
        <v>39</v>
      </c>
      <c r="D134" s="69" t="s">
        <v>40</v>
      </c>
      <c r="E134" s="69" t="s">
        <v>53</v>
      </c>
      <c r="F134" s="69" t="s">
        <v>54</v>
      </c>
      <c r="G134" s="69" t="s">
        <v>20</v>
      </c>
      <c r="H134" s="58">
        <v>2</v>
      </c>
      <c r="I134" s="59">
        <v>149.99</v>
      </c>
      <c r="J134" s="69" t="s">
        <v>35</v>
      </c>
      <c r="K134" s="69" t="s">
        <v>22</v>
      </c>
      <c r="L134" s="69" t="s">
        <v>23</v>
      </c>
      <c r="M134" s="57">
        <v>44473</v>
      </c>
      <c r="N134" s="64">
        <v>299.98</v>
      </c>
    </row>
    <row r="135" spans="1:14">
      <c r="A135" s="67" t="s">
        <v>275</v>
      </c>
      <c r="B135" s="57">
        <v>45588</v>
      </c>
      <c r="C135" s="69" t="s">
        <v>155</v>
      </c>
      <c r="D135" s="69" t="s">
        <v>156</v>
      </c>
      <c r="E135" s="69" t="s">
        <v>81</v>
      </c>
      <c r="F135" s="69" t="s">
        <v>82</v>
      </c>
      <c r="G135" s="69" t="s">
        <v>20</v>
      </c>
      <c r="H135" s="58">
        <v>2</v>
      </c>
      <c r="I135" s="59">
        <v>699.99</v>
      </c>
      <c r="J135" s="69" t="s">
        <v>21</v>
      </c>
      <c r="K135" s="69" t="s">
        <v>22</v>
      </c>
      <c r="L135" s="69" t="s">
        <v>23</v>
      </c>
      <c r="M135" s="57">
        <v>44992</v>
      </c>
      <c r="N135" s="64">
        <v>1399.98</v>
      </c>
    </row>
    <row r="136" spans="1:14">
      <c r="A136" s="67" t="s">
        <v>276</v>
      </c>
      <c r="B136" s="57">
        <v>45589</v>
      </c>
      <c r="C136" s="69" t="s">
        <v>159</v>
      </c>
      <c r="D136" s="69" t="s">
        <v>160</v>
      </c>
      <c r="E136" s="69" t="s">
        <v>81</v>
      </c>
      <c r="F136" s="69" t="s">
        <v>82</v>
      </c>
      <c r="G136" s="69" t="s">
        <v>20</v>
      </c>
      <c r="H136" s="58">
        <v>5</v>
      </c>
      <c r="I136" s="59">
        <v>699.99</v>
      </c>
      <c r="J136" s="69" t="s">
        <v>21</v>
      </c>
      <c r="K136" s="69" t="s">
        <v>41</v>
      </c>
      <c r="L136" s="69" t="s">
        <v>28</v>
      </c>
      <c r="M136" s="57">
        <v>44635</v>
      </c>
      <c r="N136" s="64">
        <v>3499.95</v>
      </c>
    </row>
    <row r="137" spans="1:14">
      <c r="A137" s="67" t="s">
        <v>277</v>
      </c>
      <c r="B137" s="57">
        <v>45592</v>
      </c>
      <c r="C137" s="69" t="s">
        <v>172</v>
      </c>
      <c r="D137" s="69" t="s">
        <v>173</v>
      </c>
      <c r="E137" s="69" t="s">
        <v>118</v>
      </c>
      <c r="F137" s="69" t="s">
        <v>119</v>
      </c>
      <c r="G137" s="69" t="s">
        <v>20</v>
      </c>
      <c r="H137" s="58">
        <v>3</v>
      </c>
      <c r="I137" s="59">
        <v>89.99</v>
      </c>
      <c r="J137" s="69" t="s">
        <v>27</v>
      </c>
      <c r="K137" s="69" t="s">
        <v>41</v>
      </c>
      <c r="L137" s="69" t="s">
        <v>37</v>
      </c>
      <c r="M137" s="57">
        <v>44615</v>
      </c>
      <c r="N137" s="64">
        <v>269.97000000000003</v>
      </c>
    </row>
    <row r="138" spans="1:14">
      <c r="A138" s="67" t="s">
        <v>278</v>
      </c>
      <c r="B138" s="57">
        <v>45597</v>
      </c>
      <c r="C138" s="69" t="s">
        <v>16</v>
      </c>
      <c r="D138" s="69" t="s">
        <v>17</v>
      </c>
      <c r="E138" s="69" t="s">
        <v>18</v>
      </c>
      <c r="F138" s="69" t="s">
        <v>19</v>
      </c>
      <c r="G138" s="69" t="s">
        <v>20</v>
      </c>
      <c r="H138" s="58">
        <v>5</v>
      </c>
      <c r="I138" s="59">
        <v>249.99</v>
      </c>
      <c r="J138" s="69" t="s">
        <v>27</v>
      </c>
      <c r="K138" s="69" t="s">
        <v>36</v>
      </c>
      <c r="L138" s="69" t="s">
        <v>37</v>
      </c>
      <c r="M138" s="57">
        <v>44881</v>
      </c>
      <c r="N138" s="64">
        <v>1249.95</v>
      </c>
    </row>
    <row r="139" spans="1:14">
      <c r="A139" s="67" t="s">
        <v>279</v>
      </c>
      <c r="B139" s="57">
        <v>45600</v>
      </c>
      <c r="C139" s="69" t="s">
        <v>66</v>
      </c>
      <c r="D139" s="69" t="s">
        <v>67</v>
      </c>
      <c r="E139" s="69" t="s">
        <v>106</v>
      </c>
      <c r="F139" s="69" t="s">
        <v>107</v>
      </c>
      <c r="G139" s="69" t="s">
        <v>47</v>
      </c>
      <c r="H139" s="58">
        <v>3</v>
      </c>
      <c r="I139" s="59">
        <v>299.99</v>
      </c>
      <c r="J139" s="69" t="s">
        <v>27</v>
      </c>
      <c r="K139" s="69" t="s">
        <v>36</v>
      </c>
      <c r="L139" s="69" t="s">
        <v>37</v>
      </c>
      <c r="M139" s="57">
        <v>44502</v>
      </c>
      <c r="N139" s="64">
        <v>899.97</v>
      </c>
    </row>
    <row r="140" spans="1:14">
      <c r="A140" s="67" t="s">
        <v>280</v>
      </c>
      <c r="B140" s="57">
        <v>45603</v>
      </c>
      <c r="C140" s="69" t="s">
        <v>100</v>
      </c>
      <c r="D140" s="69" t="s">
        <v>101</v>
      </c>
      <c r="E140" s="69" t="s">
        <v>118</v>
      </c>
      <c r="F140" s="69" t="s">
        <v>119</v>
      </c>
      <c r="G140" s="69" t="s">
        <v>20</v>
      </c>
      <c r="H140" s="58">
        <v>3</v>
      </c>
      <c r="I140" s="59">
        <v>89.99</v>
      </c>
      <c r="J140" s="69" t="s">
        <v>27</v>
      </c>
      <c r="K140" s="69" t="s">
        <v>41</v>
      </c>
      <c r="L140" s="69" t="s">
        <v>28</v>
      </c>
      <c r="M140" s="57">
        <v>44420</v>
      </c>
      <c r="N140" s="64">
        <v>269.97000000000003</v>
      </c>
    </row>
    <row r="141" spans="1:14">
      <c r="A141" s="67" t="s">
        <v>281</v>
      </c>
      <c r="B141" s="57">
        <v>45604</v>
      </c>
      <c r="C141" s="69" t="s">
        <v>90</v>
      </c>
      <c r="D141" s="69" t="s">
        <v>91</v>
      </c>
      <c r="E141" s="69" t="s">
        <v>45</v>
      </c>
      <c r="F141" s="69" t="s">
        <v>46</v>
      </c>
      <c r="G141" s="69" t="s">
        <v>47</v>
      </c>
      <c r="H141" s="58">
        <v>2</v>
      </c>
      <c r="I141" s="59">
        <v>149.99</v>
      </c>
      <c r="J141" s="69" t="s">
        <v>27</v>
      </c>
      <c r="K141" s="69" t="s">
        <v>51</v>
      </c>
      <c r="L141" s="69" t="s">
        <v>28</v>
      </c>
      <c r="M141" s="57">
        <v>44848</v>
      </c>
      <c r="N141" s="64">
        <v>299.98</v>
      </c>
    </row>
    <row r="142" spans="1:14">
      <c r="A142" s="67" t="s">
        <v>282</v>
      </c>
      <c r="B142" s="57">
        <v>45605</v>
      </c>
      <c r="C142" s="69" t="s">
        <v>186</v>
      </c>
      <c r="D142" s="69" t="s">
        <v>187</v>
      </c>
      <c r="E142" s="69" t="s">
        <v>18</v>
      </c>
      <c r="F142" s="69" t="s">
        <v>19</v>
      </c>
      <c r="G142" s="69" t="s">
        <v>20</v>
      </c>
      <c r="H142" s="58">
        <v>1</v>
      </c>
      <c r="I142" s="59">
        <v>249.99</v>
      </c>
      <c r="J142" s="69" t="s">
        <v>27</v>
      </c>
      <c r="K142" s="69" t="s">
        <v>41</v>
      </c>
      <c r="L142" s="69" t="s">
        <v>28</v>
      </c>
      <c r="M142" s="57">
        <v>44828</v>
      </c>
      <c r="N142" s="64">
        <v>249.99</v>
      </c>
    </row>
    <row r="143" spans="1:14">
      <c r="A143" s="67" t="s">
        <v>283</v>
      </c>
      <c r="B143" s="57">
        <v>45607</v>
      </c>
      <c r="C143" s="69" t="s">
        <v>73</v>
      </c>
      <c r="D143" s="69" t="s">
        <v>74</v>
      </c>
      <c r="E143" s="69" t="s">
        <v>53</v>
      </c>
      <c r="F143" s="69" t="s">
        <v>54</v>
      </c>
      <c r="G143" s="69" t="s">
        <v>20</v>
      </c>
      <c r="H143" s="58">
        <v>3</v>
      </c>
      <c r="I143" s="59">
        <v>149.99</v>
      </c>
      <c r="J143" s="69" t="s">
        <v>21</v>
      </c>
      <c r="K143" s="69" t="s">
        <v>41</v>
      </c>
      <c r="L143" s="69" t="s">
        <v>23</v>
      </c>
      <c r="M143" s="57">
        <v>44769</v>
      </c>
      <c r="N143" s="64">
        <v>449.97</v>
      </c>
    </row>
    <row r="144" spans="1:14">
      <c r="A144" s="67" t="s">
        <v>284</v>
      </c>
      <c r="B144" s="57">
        <v>45607</v>
      </c>
      <c r="C144" s="69" t="s">
        <v>16</v>
      </c>
      <c r="D144" s="69" t="s">
        <v>17</v>
      </c>
      <c r="E144" s="69" t="s">
        <v>32</v>
      </c>
      <c r="F144" s="69" t="s">
        <v>33</v>
      </c>
      <c r="G144" s="69" t="s">
        <v>34</v>
      </c>
      <c r="H144" s="58">
        <v>5</v>
      </c>
      <c r="I144" s="59">
        <v>59.99</v>
      </c>
      <c r="J144" s="69" t="s">
        <v>35</v>
      </c>
      <c r="K144" s="69" t="s">
        <v>51</v>
      </c>
      <c r="L144" s="69" t="s">
        <v>28</v>
      </c>
      <c r="M144" s="57">
        <v>44694</v>
      </c>
      <c r="N144" s="64">
        <v>299.95</v>
      </c>
    </row>
    <row r="145" spans="1:14">
      <c r="A145" s="67" t="s">
        <v>285</v>
      </c>
      <c r="B145" s="57">
        <v>45607</v>
      </c>
      <c r="C145" s="69" t="s">
        <v>100</v>
      </c>
      <c r="D145" s="69" t="s">
        <v>101</v>
      </c>
      <c r="E145" s="69" t="s">
        <v>18</v>
      </c>
      <c r="F145" s="69" t="s">
        <v>19</v>
      </c>
      <c r="G145" s="69" t="s">
        <v>20</v>
      </c>
      <c r="H145" s="58">
        <v>4</v>
      </c>
      <c r="I145" s="59">
        <v>249.99</v>
      </c>
      <c r="J145" s="69" t="s">
        <v>27</v>
      </c>
      <c r="K145" s="69" t="s">
        <v>51</v>
      </c>
      <c r="L145" s="69" t="s">
        <v>37</v>
      </c>
      <c r="M145" s="57">
        <v>44659</v>
      </c>
      <c r="N145" s="64">
        <v>999.96</v>
      </c>
    </row>
    <row r="146" spans="1:14">
      <c r="A146" s="67" t="s">
        <v>286</v>
      </c>
      <c r="B146" s="57">
        <v>45608</v>
      </c>
      <c r="C146" s="69" t="s">
        <v>155</v>
      </c>
      <c r="D146" s="69" t="s">
        <v>156</v>
      </c>
      <c r="E146" s="69" t="s">
        <v>45</v>
      </c>
      <c r="F146" s="69" t="s">
        <v>46</v>
      </c>
      <c r="G146" s="69" t="s">
        <v>47</v>
      </c>
      <c r="H146" s="58">
        <v>5</v>
      </c>
      <c r="I146" s="59">
        <v>149.99</v>
      </c>
      <c r="J146" s="69" t="s">
        <v>35</v>
      </c>
      <c r="K146" s="69" t="s">
        <v>22</v>
      </c>
      <c r="L146" s="69" t="s">
        <v>23</v>
      </c>
      <c r="M146" s="57">
        <v>44901</v>
      </c>
      <c r="N146" s="64">
        <v>749.95</v>
      </c>
    </row>
    <row r="147" spans="1:14">
      <c r="A147" s="67" t="s">
        <v>287</v>
      </c>
      <c r="B147" s="57">
        <v>45608</v>
      </c>
      <c r="C147" s="69" t="s">
        <v>84</v>
      </c>
      <c r="D147" s="69" t="s">
        <v>85</v>
      </c>
      <c r="E147" s="69" t="s">
        <v>32</v>
      </c>
      <c r="F147" s="69" t="s">
        <v>33</v>
      </c>
      <c r="G147" s="69" t="s">
        <v>34</v>
      </c>
      <c r="H147" s="58">
        <v>3</v>
      </c>
      <c r="I147" s="59">
        <v>59.99</v>
      </c>
      <c r="J147" s="69" t="s">
        <v>58</v>
      </c>
      <c r="K147" s="69" t="s">
        <v>36</v>
      </c>
      <c r="L147" s="69" t="s">
        <v>37</v>
      </c>
      <c r="M147" s="57">
        <v>45260</v>
      </c>
      <c r="N147" s="64">
        <v>179.97</v>
      </c>
    </row>
    <row r="148" spans="1:14">
      <c r="A148" s="67" t="s">
        <v>288</v>
      </c>
      <c r="B148" s="57">
        <v>45613</v>
      </c>
      <c r="C148" s="69" t="s">
        <v>235</v>
      </c>
      <c r="D148" s="69" t="s">
        <v>236</v>
      </c>
      <c r="E148" s="69" t="s">
        <v>45</v>
      </c>
      <c r="F148" s="69" t="s">
        <v>46</v>
      </c>
      <c r="G148" s="69" t="s">
        <v>47</v>
      </c>
      <c r="H148" s="58">
        <v>5</v>
      </c>
      <c r="I148" s="59">
        <v>149.99</v>
      </c>
      <c r="J148" s="69" t="s">
        <v>21</v>
      </c>
      <c r="K148" s="69" t="s">
        <v>41</v>
      </c>
      <c r="L148" s="69" t="s">
        <v>23</v>
      </c>
      <c r="M148" s="57">
        <v>44869</v>
      </c>
      <c r="N148" s="64">
        <v>749.95</v>
      </c>
    </row>
    <row r="149" spans="1:14">
      <c r="A149" s="67" t="s">
        <v>289</v>
      </c>
      <c r="B149" s="57">
        <v>45613</v>
      </c>
      <c r="C149" s="69" t="s">
        <v>87</v>
      </c>
      <c r="D149" s="69" t="s">
        <v>88</v>
      </c>
      <c r="E149" s="69" t="s">
        <v>81</v>
      </c>
      <c r="F149" s="69" t="s">
        <v>82</v>
      </c>
      <c r="G149" s="69" t="s">
        <v>20</v>
      </c>
      <c r="H149" s="58">
        <v>2</v>
      </c>
      <c r="I149" s="59">
        <v>699.99</v>
      </c>
      <c r="J149" s="69" t="s">
        <v>35</v>
      </c>
      <c r="K149" s="69" t="s">
        <v>51</v>
      </c>
      <c r="L149" s="69" t="s">
        <v>37</v>
      </c>
      <c r="M149" s="57">
        <v>44770</v>
      </c>
      <c r="N149" s="64">
        <v>1399.98</v>
      </c>
    </row>
    <row r="150" spans="1:14">
      <c r="A150" s="67" t="s">
        <v>290</v>
      </c>
      <c r="B150" s="57">
        <v>45617</v>
      </c>
      <c r="C150" s="69" t="s">
        <v>124</v>
      </c>
      <c r="D150" s="69" t="s">
        <v>125</v>
      </c>
      <c r="E150" s="69" t="s">
        <v>127</v>
      </c>
      <c r="F150" s="69" t="s">
        <v>128</v>
      </c>
      <c r="G150" s="69" t="s">
        <v>47</v>
      </c>
      <c r="H150" s="58">
        <v>4</v>
      </c>
      <c r="I150" s="59">
        <v>199.99</v>
      </c>
      <c r="J150" s="69" t="s">
        <v>58</v>
      </c>
      <c r="K150" s="69" t="s">
        <v>22</v>
      </c>
      <c r="L150" s="69" t="s">
        <v>28</v>
      </c>
      <c r="M150" s="57">
        <v>44427</v>
      </c>
      <c r="N150" s="64">
        <v>799.96</v>
      </c>
    </row>
    <row r="151" spans="1:14">
      <c r="A151" s="67" t="s">
        <v>291</v>
      </c>
      <c r="B151" s="57">
        <v>45619</v>
      </c>
      <c r="C151" s="69" t="s">
        <v>193</v>
      </c>
      <c r="D151" s="69" t="s">
        <v>194</v>
      </c>
      <c r="E151" s="69" t="s">
        <v>32</v>
      </c>
      <c r="F151" s="69" t="s">
        <v>33</v>
      </c>
      <c r="G151" s="69" t="s">
        <v>34</v>
      </c>
      <c r="H151" s="58">
        <v>1</v>
      </c>
      <c r="I151" s="59">
        <v>59.99</v>
      </c>
      <c r="J151" s="69" t="s">
        <v>58</v>
      </c>
      <c r="K151" s="69" t="s">
        <v>51</v>
      </c>
      <c r="L151" s="69" t="s">
        <v>37</v>
      </c>
      <c r="M151" s="57">
        <v>44560</v>
      </c>
      <c r="N151" s="64">
        <v>59.99</v>
      </c>
    </row>
    <row r="152" spans="1:14">
      <c r="A152" s="67" t="s">
        <v>292</v>
      </c>
      <c r="B152" s="57">
        <v>45619</v>
      </c>
      <c r="C152" s="69" t="s">
        <v>155</v>
      </c>
      <c r="D152" s="69" t="s">
        <v>156</v>
      </c>
      <c r="E152" s="69" t="s">
        <v>81</v>
      </c>
      <c r="F152" s="69" t="s">
        <v>82</v>
      </c>
      <c r="G152" s="69" t="s">
        <v>20</v>
      </c>
      <c r="H152" s="58">
        <v>3</v>
      </c>
      <c r="I152" s="59">
        <v>699.99</v>
      </c>
      <c r="J152" s="69" t="s">
        <v>35</v>
      </c>
      <c r="K152" s="69" t="s">
        <v>51</v>
      </c>
      <c r="L152" s="69" t="s">
        <v>37</v>
      </c>
      <c r="M152" s="57">
        <v>44583</v>
      </c>
      <c r="N152" s="64">
        <v>2099.9699999999998</v>
      </c>
    </row>
    <row r="153" spans="1:14">
      <c r="A153" s="67" t="s">
        <v>293</v>
      </c>
      <c r="B153" s="57">
        <v>45622</v>
      </c>
      <c r="C153" s="69" t="s">
        <v>294</v>
      </c>
      <c r="D153" s="69" t="s">
        <v>295</v>
      </c>
      <c r="E153" s="69" t="s">
        <v>18</v>
      </c>
      <c r="F153" s="69" t="s">
        <v>19</v>
      </c>
      <c r="G153" s="69" t="s">
        <v>20</v>
      </c>
      <c r="H153" s="58">
        <v>5</v>
      </c>
      <c r="I153" s="59">
        <v>249.99</v>
      </c>
      <c r="J153" s="69" t="s">
        <v>27</v>
      </c>
      <c r="K153" s="69" t="s">
        <v>41</v>
      </c>
      <c r="L153" s="69" t="s">
        <v>23</v>
      </c>
      <c r="M153" s="57">
        <v>44873</v>
      </c>
      <c r="N153" s="64">
        <v>1249.95</v>
      </c>
    </row>
    <row r="154" spans="1:14">
      <c r="A154" s="67" t="s">
        <v>296</v>
      </c>
      <c r="B154" s="57">
        <v>45623</v>
      </c>
      <c r="C154" s="69" t="s">
        <v>113</v>
      </c>
      <c r="D154" s="69" t="s">
        <v>114</v>
      </c>
      <c r="E154" s="69" t="s">
        <v>45</v>
      </c>
      <c r="F154" s="69" t="s">
        <v>46</v>
      </c>
      <c r="G154" s="69" t="s">
        <v>47</v>
      </c>
      <c r="H154" s="58">
        <v>2</v>
      </c>
      <c r="I154" s="59">
        <v>149.99</v>
      </c>
      <c r="J154" s="69" t="s">
        <v>21</v>
      </c>
      <c r="K154" s="69" t="s">
        <v>36</v>
      </c>
      <c r="L154" s="69" t="s">
        <v>37</v>
      </c>
      <c r="M154" s="57">
        <v>45101</v>
      </c>
      <c r="N154" s="64">
        <v>299.98</v>
      </c>
    </row>
    <row r="155" spans="1:14">
      <c r="A155" s="67" t="s">
        <v>297</v>
      </c>
      <c r="B155" s="57">
        <v>45627</v>
      </c>
      <c r="C155" s="69" t="s">
        <v>30</v>
      </c>
      <c r="D155" s="69" t="s">
        <v>31</v>
      </c>
      <c r="E155" s="69" t="s">
        <v>106</v>
      </c>
      <c r="F155" s="69" t="s">
        <v>107</v>
      </c>
      <c r="G155" s="69" t="s">
        <v>47</v>
      </c>
      <c r="H155" s="58">
        <v>3</v>
      </c>
      <c r="I155" s="59">
        <v>299.99</v>
      </c>
      <c r="J155" s="69" t="s">
        <v>21</v>
      </c>
      <c r="K155" s="69" t="s">
        <v>36</v>
      </c>
      <c r="L155" s="69" t="s">
        <v>28</v>
      </c>
      <c r="M155" s="57">
        <v>44659</v>
      </c>
      <c r="N155" s="64">
        <v>899.97</v>
      </c>
    </row>
    <row r="156" spans="1:14">
      <c r="A156" s="67" t="s">
        <v>298</v>
      </c>
      <c r="B156" s="57">
        <v>45627</v>
      </c>
      <c r="C156" s="69" t="s">
        <v>56</v>
      </c>
      <c r="D156" s="69" t="s">
        <v>57</v>
      </c>
      <c r="E156" s="69" t="s">
        <v>18</v>
      </c>
      <c r="F156" s="69" t="s">
        <v>19</v>
      </c>
      <c r="G156" s="69" t="s">
        <v>20</v>
      </c>
      <c r="H156" s="58">
        <v>5</v>
      </c>
      <c r="I156" s="59">
        <v>249.99</v>
      </c>
      <c r="J156" s="69" t="s">
        <v>21</v>
      </c>
      <c r="K156" s="69" t="s">
        <v>22</v>
      </c>
      <c r="L156" s="69" t="s">
        <v>28</v>
      </c>
      <c r="M156" s="57">
        <v>44485</v>
      </c>
      <c r="N156" s="64">
        <v>1249.95</v>
      </c>
    </row>
    <row r="157" spans="1:14">
      <c r="A157" s="67" t="s">
        <v>299</v>
      </c>
      <c r="B157" s="57">
        <v>45627</v>
      </c>
      <c r="C157" s="69" t="s">
        <v>25</v>
      </c>
      <c r="D157" s="69" t="s">
        <v>26</v>
      </c>
      <c r="E157" s="69" t="s">
        <v>53</v>
      </c>
      <c r="F157" s="69" t="s">
        <v>54</v>
      </c>
      <c r="G157" s="69" t="s">
        <v>20</v>
      </c>
      <c r="H157" s="58">
        <v>2</v>
      </c>
      <c r="I157" s="59">
        <v>149.99</v>
      </c>
      <c r="J157" s="69" t="s">
        <v>21</v>
      </c>
      <c r="K157" s="69" t="s">
        <v>36</v>
      </c>
      <c r="L157" s="69" t="s">
        <v>28</v>
      </c>
      <c r="M157" s="57">
        <v>44475</v>
      </c>
      <c r="N157" s="64">
        <v>299.98</v>
      </c>
    </row>
    <row r="158" spans="1:14">
      <c r="A158" s="67" t="s">
        <v>300</v>
      </c>
      <c r="B158" s="57">
        <v>45627</v>
      </c>
      <c r="C158" s="69" t="s">
        <v>87</v>
      </c>
      <c r="D158" s="69" t="s">
        <v>88</v>
      </c>
      <c r="E158" s="69" t="s">
        <v>81</v>
      </c>
      <c r="F158" s="69" t="s">
        <v>82</v>
      </c>
      <c r="G158" s="69" t="s">
        <v>20</v>
      </c>
      <c r="H158" s="58">
        <v>5</v>
      </c>
      <c r="I158" s="59">
        <v>699.99</v>
      </c>
      <c r="J158" s="69" t="s">
        <v>58</v>
      </c>
      <c r="K158" s="69" t="s">
        <v>51</v>
      </c>
      <c r="L158" s="69" t="s">
        <v>37</v>
      </c>
      <c r="M158" s="57">
        <v>44944</v>
      </c>
      <c r="N158" s="64">
        <v>3499.95</v>
      </c>
    </row>
    <row r="159" spans="1:14">
      <c r="A159" s="67" t="s">
        <v>301</v>
      </c>
      <c r="B159" s="57">
        <v>45629</v>
      </c>
      <c r="C159" s="69" t="s">
        <v>253</v>
      </c>
      <c r="D159" s="69" t="s">
        <v>254</v>
      </c>
      <c r="E159" s="69" t="s">
        <v>18</v>
      </c>
      <c r="F159" s="69" t="s">
        <v>19</v>
      </c>
      <c r="G159" s="69" t="s">
        <v>20</v>
      </c>
      <c r="H159" s="58">
        <v>4</v>
      </c>
      <c r="I159" s="59">
        <v>249.99</v>
      </c>
      <c r="J159" s="69" t="s">
        <v>35</v>
      </c>
      <c r="K159" s="69" t="s">
        <v>64</v>
      </c>
      <c r="L159" s="69" t="s">
        <v>28</v>
      </c>
      <c r="M159" s="57">
        <v>45098</v>
      </c>
      <c r="N159" s="64">
        <v>999.96</v>
      </c>
    </row>
    <row r="160" spans="1:14">
      <c r="A160" s="67" t="s">
        <v>302</v>
      </c>
      <c r="B160" s="57">
        <v>45630</v>
      </c>
      <c r="C160" s="69" t="s">
        <v>49</v>
      </c>
      <c r="D160" s="69" t="s">
        <v>50</v>
      </c>
      <c r="E160" s="69" t="s">
        <v>81</v>
      </c>
      <c r="F160" s="69" t="s">
        <v>82</v>
      </c>
      <c r="G160" s="69" t="s">
        <v>20</v>
      </c>
      <c r="H160" s="58">
        <v>4</v>
      </c>
      <c r="I160" s="59">
        <v>699.99</v>
      </c>
      <c r="J160" s="69" t="s">
        <v>27</v>
      </c>
      <c r="K160" s="69" t="s">
        <v>41</v>
      </c>
      <c r="L160" s="69" t="s">
        <v>28</v>
      </c>
      <c r="M160" s="57">
        <v>44703</v>
      </c>
      <c r="N160" s="64">
        <v>2799.96</v>
      </c>
    </row>
    <row r="161" spans="1:14">
      <c r="A161" s="67" t="s">
        <v>303</v>
      </c>
      <c r="B161" s="57">
        <v>45635</v>
      </c>
      <c r="C161" s="69" t="s">
        <v>109</v>
      </c>
      <c r="D161" s="69" t="s">
        <v>110</v>
      </c>
      <c r="E161" s="69" t="s">
        <v>18</v>
      </c>
      <c r="F161" s="69" t="s">
        <v>19</v>
      </c>
      <c r="G161" s="69" t="s">
        <v>20</v>
      </c>
      <c r="H161" s="58">
        <v>2</v>
      </c>
      <c r="I161" s="59">
        <v>249.99</v>
      </c>
      <c r="J161" s="69" t="s">
        <v>27</v>
      </c>
      <c r="K161" s="69" t="s">
        <v>22</v>
      </c>
      <c r="L161" s="69" t="s">
        <v>28</v>
      </c>
      <c r="M161" s="57">
        <v>44396</v>
      </c>
      <c r="N161" s="64">
        <v>499.98</v>
      </c>
    </row>
    <row r="162" spans="1:14">
      <c r="A162" s="67" t="s">
        <v>304</v>
      </c>
      <c r="B162" s="57">
        <v>45635</v>
      </c>
      <c r="C162" s="69" t="s">
        <v>305</v>
      </c>
      <c r="D162" s="69" t="s">
        <v>306</v>
      </c>
      <c r="E162" s="69" t="s">
        <v>32</v>
      </c>
      <c r="F162" s="69" t="s">
        <v>33</v>
      </c>
      <c r="G162" s="69" t="s">
        <v>34</v>
      </c>
      <c r="H162" s="58">
        <v>3</v>
      </c>
      <c r="I162" s="59">
        <v>59.99</v>
      </c>
      <c r="J162" s="69" t="s">
        <v>21</v>
      </c>
      <c r="K162" s="69" t="s">
        <v>22</v>
      </c>
      <c r="L162" s="69" t="s">
        <v>28</v>
      </c>
      <c r="M162" s="57">
        <v>45052</v>
      </c>
      <c r="N162" s="64">
        <v>179.97</v>
      </c>
    </row>
    <row r="163" spans="1:14">
      <c r="A163" s="67" t="s">
        <v>307</v>
      </c>
      <c r="B163" s="57">
        <v>45635</v>
      </c>
      <c r="C163" s="69" t="s">
        <v>142</v>
      </c>
      <c r="D163" s="69" t="s">
        <v>143</v>
      </c>
      <c r="E163" s="69" t="s">
        <v>115</v>
      </c>
      <c r="F163" s="69" t="s">
        <v>116</v>
      </c>
      <c r="G163" s="69" t="s">
        <v>34</v>
      </c>
      <c r="H163" s="58">
        <v>4</v>
      </c>
      <c r="I163" s="59">
        <v>79.989999999999995</v>
      </c>
      <c r="J163" s="69" t="s">
        <v>58</v>
      </c>
      <c r="K163" s="69" t="s">
        <v>64</v>
      </c>
      <c r="L163" s="69" t="s">
        <v>37</v>
      </c>
      <c r="M163" s="57">
        <v>44921</v>
      </c>
      <c r="N163" s="64">
        <v>319.95999999999998</v>
      </c>
    </row>
    <row r="164" spans="1:14">
      <c r="A164" s="67" t="s">
        <v>308</v>
      </c>
      <c r="B164" s="57">
        <v>45636</v>
      </c>
      <c r="C164" s="69" t="s">
        <v>121</v>
      </c>
      <c r="D164" s="69" t="s">
        <v>122</v>
      </c>
      <c r="E164" s="69" t="s">
        <v>115</v>
      </c>
      <c r="F164" s="69" t="s">
        <v>116</v>
      </c>
      <c r="G164" s="69" t="s">
        <v>34</v>
      </c>
      <c r="H164" s="58">
        <v>3</v>
      </c>
      <c r="I164" s="59">
        <v>79.989999999999995</v>
      </c>
      <c r="J164" s="69" t="s">
        <v>58</v>
      </c>
      <c r="K164" s="69" t="s">
        <v>64</v>
      </c>
      <c r="L164" s="69" t="s">
        <v>37</v>
      </c>
      <c r="M164" s="57">
        <v>44779</v>
      </c>
      <c r="N164" s="64">
        <v>239.97</v>
      </c>
    </row>
    <row r="165" spans="1:14">
      <c r="A165" s="67" t="s">
        <v>309</v>
      </c>
      <c r="B165" s="57">
        <v>45638</v>
      </c>
      <c r="C165" s="69" t="s">
        <v>73</v>
      </c>
      <c r="D165" s="69" t="s">
        <v>74</v>
      </c>
      <c r="E165" s="69" t="s">
        <v>62</v>
      </c>
      <c r="F165" s="69" t="s">
        <v>63</v>
      </c>
      <c r="G165" s="69" t="s">
        <v>20</v>
      </c>
      <c r="H165" s="58">
        <v>2</v>
      </c>
      <c r="I165" s="59">
        <v>899.99</v>
      </c>
      <c r="J165" s="69" t="s">
        <v>21</v>
      </c>
      <c r="K165" s="69" t="s">
        <v>41</v>
      </c>
      <c r="L165" s="69" t="s">
        <v>23</v>
      </c>
      <c r="M165" s="57">
        <v>44406</v>
      </c>
      <c r="N165" s="64">
        <v>1799.98</v>
      </c>
    </row>
    <row r="166" spans="1:14">
      <c r="A166" s="67" t="s">
        <v>310</v>
      </c>
      <c r="B166" s="57">
        <v>45641</v>
      </c>
      <c r="C166" s="69" t="s">
        <v>183</v>
      </c>
      <c r="D166" s="69" t="s">
        <v>184</v>
      </c>
      <c r="E166" s="69" t="s">
        <v>45</v>
      </c>
      <c r="F166" s="69" t="s">
        <v>46</v>
      </c>
      <c r="G166" s="69" t="s">
        <v>47</v>
      </c>
      <c r="H166" s="58">
        <v>1</v>
      </c>
      <c r="I166" s="59">
        <v>149.99</v>
      </c>
      <c r="J166" s="69" t="s">
        <v>58</v>
      </c>
      <c r="K166" s="69" t="s">
        <v>64</v>
      </c>
      <c r="L166" s="69" t="s">
        <v>37</v>
      </c>
      <c r="M166" s="57">
        <v>45200</v>
      </c>
      <c r="N166" s="64">
        <v>149.99</v>
      </c>
    </row>
    <row r="167" spans="1:14">
      <c r="A167" s="67" t="s">
        <v>311</v>
      </c>
      <c r="B167" s="57">
        <v>45641</v>
      </c>
      <c r="C167" s="69" t="s">
        <v>139</v>
      </c>
      <c r="D167" s="69" t="s">
        <v>140</v>
      </c>
      <c r="E167" s="69" t="s">
        <v>106</v>
      </c>
      <c r="F167" s="69" t="s">
        <v>107</v>
      </c>
      <c r="G167" s="69" t="s">
        <v>47</v>
      </c>
      <c r="H167" s="58">
        <v>2</v>
      </c>
      <c r="I167" s="59">
        <v>299.99</v>
      </c>
      <c r="J167" s="69" t="s">
        <v>21</v>
      </c>
      <c r="K167" s="69" t="s">
        <v>64</v>
      </c>
      <c r="L167" s="69" t="s">
        <v>28</v>
      </c>
      <c r="M167" s="57">
        <v>44724</v>
      </c>
      <c r="N167" s="64">
        <v>599.98</v>
      </c>
    </row>
    <row r="168" spans="1:14">
      <c r="A168" s="67" t="s">
        <v>312</v>
      </c>
      <c r="B168" s="57">
        <v>45644</v>
      </c>
      <c r="C168" s="69" t="s">
        <v>133</v>
      </c>
      <c r="D168" s="69" t="s">
        <v>134</v>
      </c>
      <c r="E168" s="69" t="s">
        <v>32</v>
      </c>
      <c r="F168" s="69" t="s">
        <v>33</v>
      </c>
      <c r="G168" s="69" t="s">
        <v>34</v>
      </c>
      <c r="H168" s="58">
        <v>2</v>
      </c>
      <c r="I168" s="59">
        <v>59.99</v>
      </c>
      <c r="J168" s="69" t="s">
        <v>21</v>
      </c>
      <c r="K168" s="69" t="s">
        <v>51</v>
      </c>
      <c r="L168" s="69" t="s">
        <v>23</v>
      </c>
      <c r="M168" s="57">
        <v>45191</v>
      </c>
      <c r="N168" s="64">
        <v>119.98</v>
      </c>
    </row>
    <row r="169" spans="1:14">
      <c r="A169" s="67" t="s">
        <v>313</v>
      </c>
      <c r="B169" s="57">
        <v>45645</v>
      </c>
      <c r="C169" s="69" t="s">
        <v>183</v>
      </c>
      <c r="D169" s="69" t="s">
        <v>184</v>
      </c>
      <c r="E169" s="69" t="s">
        <v>118</v>
      </c>
      <c r="F169" s="69" t="s">
        <v>119</v>
      </c>
      <c r="G169" s="69" t="s">
        <v>20</v>
      </c>
      <c r="H169" s="58">
        <v>1</v>
      </c>
      <c r="I169" s="59">
        <v>89.99</v>
      </c>
      <c r="J169" s="69" t="s">
        <v>58</v>
      </c>
      <c r="K169" s="69" t="s">
        <v>22</v>
      </c>
      <c r="L169" s="69" t="s">
        <v>37</v>
      </c>
      <c r="M169" s="57">
        <v>44760</v>
      </c>
      <c r="N169" s="64">
        <v>89.99</v>
      </c>
    </row>
    <row r="170" spans="1:14">
      <c r="A170" s="67" t="s">
        <v>314</v>
      </c>
      <c r="B170" s="57">
        <v>45645</v>
      </c>
      <c r="C170" s="69" t="s">
        <v>148</v>
      </c>
      <c r="D170" s="69" t="s">
        <v>149</v>
      </c>
      <c r="E170" s="69" t="s">
        <v>62</v>
      </c>
      <c r="F170" s="69" t="s">
        <v>63</v>
      </c>
      <c r="G170" s="69" t="s">
        <v>20</v>
      </c>
      <c r="H170" s="58">
        <v>5</v>
      </c>
      <c r="I170" s="59">
        <v>899.99</v>
      </c>
      <c r="J170" s="69" t="s">
        <v>58</v>
      </c>
      <c r="K170" s="69" t="s">
        <v>64</v>
      </c>
      <c r="L170" s="69" t="s">
        <v>37</v>
      </c>
      <c r="M170" s="57">
        <v>44625</v>
      </c>
      <c r="N170" s="64">
        <v>4499.95</v>
      </c>
    </row>
    <row r="171" spans="1:14">
      <c r="A171" s="67" t="s">
        <v>315</v>
      </c>
      <c r="B171" s="57">
        <v>45646</v>
      </c>
      <c r="C171" s="69" t="s">
        <v>43</v>
      </c>
      <c r="D171" s="69" t="s">
        <v>44</v>
      </c>
      <c r="E171" s="69" t="s">
        <v>45</v>
      </c>
      <c r="F171" s="69" t="s">
        <v>46</v>
      </c>
      <c r="G171" s="69" t="s">
        <v>47</v>
      </c>
      <c r="H171" s="58">
        <v>2</v>
      </c>
      <c r="I171" s="59">
        <v>149.99</v>
      </c>
      <c r="J171" s="69" t="s">
        <v>21</v>
      </c>
      <c r="K171" s="69" t="s">
        <v>36</v>
      </c>
      <c r="L171" s="69" t="s">
        <v>23</v>
      </c>
      <c r="M171" s="57">
        <v>45239</v>
      </c>
      <c r="N171" s="64">
        <v>299.98</v>
      </c>
    </row>
    <row r="172" spans="1:14">
      <c r="A172" s="67" t="s">
        <v>316</v>
      </c>
      <c r="B172" s="57">
        <v>45648</v>
      </c>
      <c r="C172" s="69" t="s">
        <v>113</v>
      </c>
      <c r="D172" s="69" t="s">
        <v>114</v>
      </c>
      <c r="E172" s="69" t="s">
        <v>53</v>
      </c>
      <c r="F172" s="69" t="s">
        <v>54</v>
      </c>
      <c r="G172" s="69" t="s">
        <v>20</v>
      </c>
      <c r="H172" s="58">
        <v>2</v>
      </c>
      <c r="I172" s="59">
        <v>149.99</v>
      </c>
      <c r="J172" s="69" t="s">
        <v>58</v>
      </c>
      <c r="K172" s="69" t="s">
        <v>51</v>
      </c>
      <c r="L172" s="69" t="s">
        <v>28</v>
      </c>
      <c r="M172" s="57">
        <v>45280</v>
      </c>
      <c r="N172" s="64">
        <v>299.98</v>
      </c>
    </row>
    <row r="173" spans="1:14">
      <c r="A173" s="67" t="s">
        <v>317</v>
      </c>
      <c r="B173" s="57">
        <v>45648</v>
      </c>
      <c r="C173" s="69" t="s">
        <v>183</v>
      </c>
      <c r="D173" s="69" t="s">
        <v>184</v>
      </c>
      <c r="E173" s="69" t="s">
        <v>45</v>
      </c>
      <c r="F173" s="69" t="s">
        <v>46</v>
      </c>
      <c r="G173" s="69" t="s">
        <v>47</v>
      </c>
      <c r="H173" s="58">
        <v>3</v>
      </c>
      <c r="I173" s="59">
        <v>149.99</v>
      </c>
      <c r="J173" s="69" t="s">
        <v>58</v>
      </c>
      <c r="K173" s="69" t="s">
        <v>41</v>
      </c>
      <c r="L173" s="69" t="s">
        <v>37</v>
      </c>
      <c r="M173" s="57">
        <v>44522</v>
      </c>
      <c r="N173" s="64">
        <v>449.97</v>
      </c>
    </row>
    <row r="174" spans="1:14">
      <c r="A174" s="67" t="s">
        <v>318</v>
      </c>
      <c r="B174" s="57">
        <v>45649</v>
      </c>
      <c r="C174" s="69" t="s">
        <v>30</v>
      </c>
      <c r="D174" s="69" t="s">
        <v>31</v>
      </c>
      <c r="E174" s="69" t="s">
        <v>106</v>
      </c>
      <c r="F174" s="69" t="s">
        <v>107</v>
      </c>
      <c r="G174" s="69" t="s">
        <v>47</v>
      </c>
      <c r="H174" s="58">
        <v>2</v>
      </c>
      <c r="I174" s="59">
        <v>299.99</v>
      </c>
      <c r="J174" s="69" t="s">
        <v>35</v>
      </c>
      <c r="K174" s="69" t="s">
        <v>36</v>
      </c>
      <c r="L174" s="69" t="s">
        <v>23</v>
      </c>
      <c r="M174" s="57">
        <v>44721</v>
      </c>
      <c r="N174" s="64">
        <v>599.98</v>
      </c>
    </row>
    <row r="175" spans="1:14">
      <c r="A175" s="67" t="s">
        <v>319</v>
      </c>
      <c r="B175" s="57">
        <v>45654</v>
      </c>
      <c r="C175" s="69" t="s">
        <v>43</v>
      </c>
      <c r="D175" s="69" t="s">
        <v>44</v>
      </c>
      <c r="E175" s="69" t="s">
        <v>106</v>
      </c>
      <c r="F175" s="69" t="s">
        <v>107</v>
      </c>
      <c r="G175" s="69" t="s">
        <v>47</v>
      </c>
      <c r="H175" s="58">
        <v>2</v>
      </c>
      <c r="I175" s="59">
        <v>299.99</v>
      </c>
      <c r="J175" s="69" t="s">
        <v>21</v>
      </c>
      <c r="K175" s="69" t="s">
        <v>51</v>
      </c>
      <c r="L175" s="69" t="s">
        <v>23</v>
      </c>
      <c r="M175" s="57">
        <v>44771</v>
      </c>
      <c r="N175" s="64">
        <v>599.98</v>
      </c>
    </row>
    <row r="176" spans="1:14">
      <c r="A176" s="67" t="s">
        <v>320</v>
      </c>
      <c r="B176" s="57">
        <v>45654</v>
      </c>
      <c r="C176" s="69" t="s">
        <v>121</v>
      </c>
      <c r="D176" s="69" t="s">
        <v>122</v>
      </c>
      <c r="E176" s="69" t="s">
        <v>127</v>
      </c>
      <c r="F176" s="69" t="s">
        <v>128</v>
      </c>
      <c r="G176" s="69" t="s">
        <v>47</v>
      </c>
      <c r="H176" s="58">
        <v>4</v>
      </c>
      <c r="I176" s="59">
        <v>199.99</v>
      </c>
      <c r="J176" s="69" t="s">
        <v>27</v>
      </c>
      <c r="K176" s="69" t="s">
        <v>22</v>
      </c>
      <c r="L176" s="69" t="s">
        <v>23</v>
      </c>
      <c r="M176" s="57">
        <v>44523</v>
      </c>
      <c r="N176" s="64">
        <v>799.96</v>
      </c>
    </row>
    <row r="177" spans="1:14">
      <c r="A177" s="67" t="s">
        <v>321</v>
      </c>
      <c r="B177" s="57">
        <v>45655</v>
      </c>
      <c r="C177" s="69" t="s">
        <v>60</v>
      </c>
      <c r="D177" s="69" t="s">
        <v>61</v>
      </c>
      <c r="E177" s="69" t="s">
        <v>118</v>
      </c>
      <c r="F177" s="69" t="s">
        <v>119</v>
      </c>
      <c r="G177" s="69" t="s">
        <v>20</v>
      </c>
      <c r="H177" s="58">
        <v>1</v>
      </c>
      <c r="I177" s="59">
        <v>89.99</v>
      </c>
      <c r="J177" s="69" t="s">
        <v>27</v>
      </c>
      <c r="K177" s="69" t="s">
        <v>36</v>
      </c>
      <c r="L177" s="69" t="s">
        <v>28</v>
      </c>
      <c r="M177" s="57">
        <v>44591</v>
      </c>
      <c r="N177" s="64">
        <v>89.99</v>
      </c>
    </row>
    <row r="178" spans="1:14">
      <c r="A178" s="67" t="s">
        <v>322</v>
      </c>
      <c r="B178" s="57">
        <v>45655</v>
      </c>
      <c r="C178" s="69" t="s">
        <v>109</v>
      </c>
      <c r="D178" s="69" t="s">
        <v>110</v>
      </c>
      <c r="E178" s="69" t="s">
        <v>45</v>
      </c>
      <c r="F178" s="69" t="s">
        <v>46</v>
      </c>
      <c r="G178" s="69" t="s">
        <v>47</v>
      </c>
      <c r="H178" s="58">
        <v>5</v>
      </c>
      <c r="I178" s="59">
        <v>149.99</v>
      </c>
      <c r="J178" s="69" t="s">
        <v>21</v>
      </c>
      <c r="K178" s="69" t="s">
        <v>22</v>
      </c>
      <c r="L178" s="69" t="s">
        <v>28</v>
      </c>
      <c r="M178" s="57">
        <v>45347</v>
      </c>
      <c r="N178" s="64">
        <v>749.95</v>
      </c>
    </row>
    <row r="179" spans="1:14">
      <c r="A179" s="67" t="s">
        <v>323</v>
      </c>
      <c r="B179" s="57">
        <v>45657</v>
      </c>
      <c r="C179" s="69" t="s">
        <v>87</v>
      </c>
      <c r="D179" s="69" t="s">
        <v>88</v>
      </c>
      <c r="E179" s="69" t="s">
        <v>62</v>
      </c>
      <c r="F179" s="69" t="s">
        <v>63</v>
      </c>
      <c r="G179" s="69" t="s">
        <v>20</v>
      </c>
      <c r="H179" s="58">
        <v>1</v>
      </c>
      <c r="I179" s="59">
        <v>899.99</v>
      </c>
      <c r="J179" s="69" t="s">
        <v>35</v>
      </c>
      <c r="K179" s="69" t="s">
        <v>41</v>
      </c>
      <c r="L179" s="69" t="s">
        <v>28</v>
      </c>
      <c r="M179" s="57">
        <v>45050</v>
      </c>
      <c r="N179" s="64">
        <v>899.99</v>
      </c>
    </row>
    <row r="180" spans="1:14">
      <c r="A180" s="67" t="s">
        <v>324</v>
      </c>
      <c r="B180" s="57">
        <v>45660</v>
      </c>
      <c r="C180" s="69" t="s">
        <v>148</v>
      </c>
      <c r="D180" s="69" t="s">
        <v>149</v>
      </c>
      <c r="E180" s="69" t="s">
        <v>118</v>
      </c>
      <c r="F180" s="69" t="s">
        <v>119</v>
      </c>
      <c r="G180" s="69" t="s">
        <v>20</v>
      </c>
      <c r="H180" s="58">
        <v>2</v>
      </c>
      <c r="I180" s="59">
        <v>89.99</v>
      </c>
      <c r="J180" s="69" t="s">
        <v>27</v>
      </c>
      <c r="K180" s="69" t="s">
        <v>36</v>
      </c>
      <c r="L180" s="69" t="s">
        <v>28</v>
      </c>
      <c r="M180" s="57">
        <v>44564</v>
      </c>
      <c r="N180" s="64">
        <v>179.98</v>
      </c>
    </row>
    <row r="181" spans="1:14">
      <c r="A181" s="67" t="s">
        <v>325</v>
      </c>
      <c r="B181" s="57">
        <v>45661</v>
      </c>
      <c r="C181" s="69" t="s">
        <v>326</v>
      </c>
      <c r="D181" s="69" t="s">
        <v>327</v>
      </c>
      <c r="E181" s="69" t="s">
        <v>62</v>
      </c>
      <c r="F181" s="69" t="s">
        <v>63</v>
      </c>
      <c r="G181" s="69" t="s">
        <v>20</v>
      </c>
      <c r="H181" s="58">
        <v>1</v>
      </c>
      <c r="I181" s="59">
        <v>899.99</v>
      </c>
      <c r="J181" s="69" t="s">
        <v>35</v>
      </c>
      <c r="K181" s="69" t="s">
        <v>41</v>
      </c>
      <c r="L181" s="69" t="s">
        <v>37</v>
      </c>
      <c r="M181" s="57">
        <v>44752</v>
      </c>
      <c r="N181" s="64">
        <v>899.99</v>
      </c>
    </row>
    <row r="182" spans="1:14">
      <c r="A182" s="67" t="s">
        <v>328</v>
      </c>
      <c r="B182" s="57">
        <v>45663</v>
      </c>
      <c r="C182" s="69" t="s">
        <v>130</v>
      </c>
      <c r="D182" s="69" t="s">
        <v>131</v>
      </c>
      <c r="E182" s="69" t="s">
        <v>53</v>
      </c>
      <c r="F182" s="69" t="s">
        <v>54</v>
      </c>
      <c r="G182" s="69" t="s">
        <v>20</v>
      </c>
      <c r="H182" s="58">
        <v>5</v>
      </c>
      <c r="I182" s="59">
        <v>149.99</v>
      </c>
      <c r="J182" s="69" t="s">
        <v>35</v>
      </c>
      <c r="K182" s="69" t="s">
        <v>64</v>
      </c>
      <c r="L182" s="69" t="s">
        <v>28</v>
      </c>
      <c r="M182" s="57">
        <v>44824</v>
      </c>
      <c r="N182" s="64">
        <v>749.95</v>
      </c>
    </row>
    <row r="183" spans="1:14">
      <c r="A183" s="67" t="s">
        <v>329</v>
      </c>
      <c r="B183" s="57">
        <v>45663</v>
      </c>
      <c r="C183" s="69" t="s">
        <v>43</v>
      </c>
      <c r="D183" s="69" t="s">
        <v>44</v>
      </c>
      <c r="E183" s="69" t="s">
        <v>106</v>
      </c>
      <c r="F183" s="69" t="s">
        <v>107</v>
      </c>
      <c r="G183" s="69" t="s">
        <v>47</v>
      </c>
      <c r="H183" s="58">
        <v>3</v>
      </c>
      <c r="I183" s="59">
        <v>299.99</v>
      </c>
      <c r="J183" s="69" t="s">
        <v>21</v>
      </c>
      <c r="K183" s="69" t="s">
        <v>36</v>
      </c>
      <c r="L183" s="69" t="s">
        <v>37</v>
      </c>
      <c r="M183" s="57">
        <v>44422</v>
      </c>
      <c r="N183" s="64">
        <v>899.97</v>
      </c>
    </row>
    <row r="184" spans="1:14">
      <c r="A184" s="67" t="s">
        <v>330</v>
      </c>
      <c r="B184" s="57">
        <v>45666</v>
      </c>
      <c r="C184" s="69" t="s">
        <v>66</v>
      </c>
      <c r="D184" s="69" t="s">
        <v>67</v>
      </c>
      <c r="E184" s="69" t="s">
        <v>81</v>
      </c>
      <c r="F184" s="69" t="s">
        <v>82</v>
      </c>
      <c r="G184" s="69" t="s">
        <v>20</v>
      </c>
      <c r="H184" s="58">
        <v>3</v>
      </c>
      <c r="I184" s="59">
        <v>699.99</v>
      </c>
      <c r="J184" s="69" t="s">
        <v>27</v>
      </c>
      <c r="K184" s="69" t="s">
        <v>22</v>
      </c>
      <c r="L184" s="69" t="s">
        <v>28</v>
      </c>
      <c r="M184" s="57">
        <v>45105</v>
      </c>
      <c r="N184" s="64">
        <v>2099.9699999999998</v>
      </c>
    </row>
    <row r="185" spans="1:14">
      <c r="A185" s="67" t="s">
        <v>331</v>
      </c>
      <c r="B185" s="57">
        <v>45667</v>
      </c>
      <c r="C185" s="69" t="s">
        <v>109</v>
      </c>
      <c r="D185" s="69" t="s">
        <v>110</v>
      </c>
      <c r="E185" s="69" t="s">
        <v>127</v>
      </c>
      <c r="F185" s="69" t="s">
        <v>128</v>
      </c>
      <c r="G185" s="69" t="s">
        <v>47</v>
      </c>
      <c r="H185" s="58">
        <v>5</v>
      </c>
      <c r="I185" s="59">
        <v>199.99</v>
      </c>
      <c r="J185" s="69" t="s">
        <v>35</v>
      </c>
      <c r="K185" s="69" t="s">
        <v>22</v>
      </c>
      <c r="L185" s="69" t="s">
        <v>37</v>
      </c>
      <c r="M185" s="57">
        <v>44633</v>
      </c>
      <c r="N185" s="64">
        <v>999.95</v>
      </c>
    </row>
    <row r="186" spans="1:14">
      <c r="A186" s="67" t="s">
        <v>332</v>
      </c>
      <c r="B186" s="57">
        <v>45667</v>
      </c>
      <c r="C186" s="69" t="s">
        <v>94</v>
      </c>
      <c r="D186" s="69" t="s">
        <v>95</v>
      </c>
      <c r="E186" s="69" t="s">
        <v>18</v>
      </c>
      <c r="F186" s="69" t="s">
        <v>19</v>
      </c>
      <c r="G186" s="69" t="s">
        <v>20</v>
      </c>
      <c r="H186" s="58">
        <v>5</v>
      </c>
      <c r="I186" s="59">
        <v>249.99</v>
      </c>
      <c r="J186" s="69" t="s">
        <v>27</v>
      </c>
      <c r="K186" s="69" t="s">
        <v>36</v>
      </c>
      <c r="L186" s="69" t="s">
        <v>23</v>
      </c>
      <c r="M186" s="57">
        <v>45330</v>
      </c>
      <c r="N186" s="64">
        <v>1249.95</v>
      </c>
    </row>
    <row r="187" spans="1:14">
      <c r="A187" s="67" t="s">
        <v>333</v>
      </c>
      <c r="B187" s="57">
        <v>45668</v>
      </c>
      <c r="C187" s="69" t="s">
        <v>139</v>
      </c>
      <c r="D187" s="69" t="s">
        <v>140</v>
      </c>
      <c r="E187" s="69" t="s">
        <v>53</v>
      </c>
      <c r="F187" s="69" t="s">
        <v>54</v>
      </c>
      <c r="G187" s="69" t="s">
        <v>20</v>
      </c>
      <c r="H187" s="58">
        <v>4</v>
      </c>
      <c r="I187" s="59">
        <v>149.99</v>
      </c>
      <c r="J187" s="69" t="s">
        <v>58</v>
      </c>
      <c r="K187" s="69" t="s">
        <v>64</v>
      </c>
      <c r="L187" s="69" t="s">
        <v>37</v>
      </c>
      <c r="M187" s="57">
        <v>44536</v>
      </c>
      <c r="N187" s="64">
        <v>599.96</v>
      </c>
    </row>
    <row r="188" spans="1:14">
      <c r="A188" s="67" t="s">
        <v>334</v>
      </c>
      <c r="B188" s="57">
        <v>45668</v>
      </c>
      <c r="C188" s="69" t="s">
        <v>79</v>
      </c>
      <c r="D188" s="69" t="s">
        <v>80</v>
      </c>
      <c r="E188" s="69" t="s">
        <v>81</v>
      </c>
      <c r="F188" s="69" t="s">
        <v>82</v>
      </c>
      <c r="G188" s="69" t="s">
        <v>20</v>
      </c>
      <c r="H188" s="58">
        <v>3</v>
      </c>
      <c r="I188" s="59">
        <v>699.99</v>
      </c>
      <c r="J188" s="69" t="s">
        <v>21</v>
      </c>
      <c r="K188" s="69" t="s">
        <v>41</v>
      </c>
      <c r="L188" s="69" t="s">
        <v>28</v>
      </c>
      <c r="M188" s="57">
        <v>44602</v>
      </c>
      <c r="N188" s="64">
        <v>2099.9699999999998</v>
      </c>
    </row>
    <row r="189" spans="1:14">
      <c r="A189" s="67" t="s">
        <v>335</v>
      </c>
      <c r="B189" s="57">
        <v>45670</v>
      </c>
      <c r="C189" s="69" t="s">
        <v>294</v>
      </c>
      <c r="D189" s="69" t="s">
        <v>295</v>
      </c>
      <c r="E189" s="69" t="s">
        <v>115</v>
      </c>
      <c r="F189" s="69" t="s">
        <v>116</v>
      </c>
      <c r="G189" s="69" t="s">
        <v>34</v>
      </c>
      <c r="H189" s="58">
        <v>1</v>
      </c>
      <c r="I189" s="59">
        <v>79.989999999999995</v>
      </c>
      <c r="J189" s="69" t="s">
        <v>27</v>
      </c>
      <c r="K189" s="69" t="s">
        <v>36</v>
      </c>
      <c r="L189" s="69" t="s">
        <v>23</v>
      </c>
      <c r="M189" s="57">
        <v>45322</v>
      </c>
      <c r="N189" s="64">
        <v>79.989999999999995</v>
      </c>
    </row>
    <row r="190" spans="1:14">
      <c r="A190" s="67" t="s">
        <v>336</v>
      </c>
      <c r="B190" s="57">
        <v>45670</v>
      </c>
      <c r="C190" s="69" t="s">
        <v>87</v>
      </c>
      <c r="D190" s="69" t="s">
        <v>88</v>
      </c>
      <c r="E190" s="69" t="s">
        <v>106</v>
      </c>
      <c r="F190" s="69" t="s">
        <v>107</v>
      </c>
      <c r="G190" s="69" t="s">
        <v>47</v>
      </c>
      <c r="H190" s="58">
        <v>1</v>
      </c>
      <c r="I190" s="59">
        <v>299.99</v>
      </c>
      <c r="J190" s="69" t="s">
        <v>27</v>
      </c>
      <c r="K190" s="69" t="s">
        <v>41</v>
      </c>
      <c r="L190" s="69" t="s">
        <v>23</v>
      </c>
      <c r="M190" s="57">
        <v>44436</v>
      </c>
      <c r="N190" s="64">
        <v>299.99</v>
      </c>
    </row>
    <row r="191" spans="1:14">
      <c r="A191" s="67" t="s">
        <v>337</v>
      </c>
      <c r="B191" s="57">
        <v>45671</v>
      </c>
      <c r="C191" s="69" t="s">
        <v>159</v>
      </c>
      <c r="D191" s="69" t="s">
        <v>160</v>
      </c>
      <c r="E191" s="69" t="s">
        <v>18</v>
      </c>
      <c r="F191" s="69" t="s">
        <v>19</v>
      </c>
      <c r="G191" s="69" t="s">
        <v>20</v>
      </c>
      <c r="H191" s="58">
        <v>4</v>
      </c>
      <c r="I191" s="59">
        <v>249.99</v>
      </c>
      <c r="J191" s="69" t="s">
        <v>27</v>
      </c>
      <c r="K191" s="69" t="s">
        <v>41</v>
      </c>
      <c r="L191" s="69" t="s">
        <v>28</v>
      </c>
      <c r="M191" s="57">
        <v>44460</v>
      </c>
      <c r="N191" s="64">
        <v>999.96</v>
      </c>
    </row>
    <row r="192" spans="1:14">
      <c r="A192" s="67" t="s">
        <v>338</v>
      </c>
      <c r="B192" s="57">
        <v>45671</v>
      </c>
      <c r="C192" s="69" t="s">
        <v>121</v>
      </c>
      <c r="D192" s="69" t="s">
        <v>122</v>
      </c>
      <c r="E192" s="69" t="s">
        <v>53</v>
      </c>
      <c r="F192" s="69" t="s">
        <v>54</v>
      </c>
      <c r="G192" s="69" t="s">
        <v>20</v>
      </c>
      <c r="H192" s="58">
        <v>2</v>
      </c>
      <c r="I192" s="59">
        <v>149.99</v>
      </c>
      <c r="J192" s="69" t="s">
        <v>21</v>
      </c>
      <c r="K192" s="69" t="s">
        <v>41</v>
      </c>
      <c r="L192" s="69" t="s">
        <v>37</v>
      </c>
      <c r="M192" s="57">
        <v>44913</v>
      </c>
      <c r="N192" s="64">
        <v>299.98</v>
      </c>
    </row>
    <row r="193" spans="1:14">
      <c r="A193" s="67" t="s">
        <v>339</v>
      </c>
      <c r="B193" s="57">
        <v>45671</v>
      </c>
      <c r="C193" s="69" t="s">
        <v>235</v>
      </c>
      <c r="D193" s="69" t="s">
        <v>236</v>
      </c>
      <c r="E193" s="69" t="s">
        <v>106</v>
      </c>
      <c r="F193" s="69" t="s">
        <v>107</v>
      </c>
      <c r="G193" s="69" t="s">
        <v>47</v>
      </c>
      <c r="H193" s="58">
        <v>3</v>
      </c>
      <c r="I193" s="59">
        <v>299.99</v>
      </c>
      <c r="J193" s="69" t="s">
        <v>27</v>
      </c>
      <c r="K193" s="69" t="s">
        <v>36</v>
      </c>
      <c r="L193" s="69" t="s">
        <v>23</v>
      </c>
      <c r="M193" s="57">
        <v>45204</v>
      </c>
      <c r="N193" s="64">
        <v>899.97</v>
      </c>
    </row>
    <row r="194" spans="1:14">
      <c r="A194" s="67" t="s">
        <v>340</v>
      </c>
      <c r="B194" s="57">
        <v>45673</v>
      </c>
      <c r="C194" s="69" t="s">
        <v>227</v>
      </c>
      <c r="D194" s="69" t="s">
        <v>228</v>
      </c>
      <c r="E194" s="69" t="s">
        <v>127</v>
      </c>
      <c r="F194" s="69" t="s">
        <v>128</v>
      </c>
      <c r="G194" s="69" t="s">
        <v>47</v>
      </c>
      <c r="H194" s="58">
        <v>4</v>
      </c>
      <c r="I194" s="59">
        <v>199.99</v>
      </c>
      <c r="J194" s="69" t="s">
        <v>58</v>
      </c>
      <c r="K194" s="69" t="s">
        <v>36</v>
      </c>
      <c r="L194" s="69" t="s">
        <v>37</v>
      </c>
      <c r="M194" s="57">
        <v>44544</v>
      </c>
      <c r="N194" s="64">
        <v>799.96</v>
      </c>
    </row>
    <row r="195" spans="1:14">
      <c r="A195" s="67" t="s">
        <v>341</v>
      </c>
      <c r="B195" s="57">
        <v>45673</v>
      </c>
      <c r="C195" s="69" t="s">
        <v>212</v>
      </c>
      <c r="D195" s="69" t="s">
        <v>213</v>
      </c>
      <c r="E195" s="69" t="s">
        <v>106</v>
      </c>
      <c r="F195" s="69" t="s">
        <v>107</v>
      </c>
      <c r="G195" s="69" t="s">
        <v>47</v>
      </c>
      <c r="H195" s="58">
        <v>5</v>
      </c>
      <c r="I195" s="59">
        <v>299.99</v>
      </c>
      <c r="J195" s="69" t="s">
        <v>58</v>
      </c>
      <c r="K195" s="69" t="s">
        <v>22</v>
      </c>
      <c r="L195" s="69" t="s">
        <v>23</v>
      </c>
      <c r="M195" s="57">
        <v>44431</v>
      </c>
      <c r="N195" s="64">
        <v>1499.95</v>
      </c>
    </row>
    <row r="196" spans="1:14">
      <c r="A196" s="67" t="s">
        <v>342</v>
      </c>
      <c r="B196" s="57">
        <v>45673</v>
      </c>
      <c r="C196" s="69" t="s">
        <v>60</v>
      </c>
      <c r="D196" s="69" t="s">
        <v>61</v>
      </c>
      <c r="E196" s="69" t="s">
        <v>45</v>
      </c>
      <c r="F196" s="69" t="s">
        <v>46</v>
      </c>
      <c r="G196" s="69" t="s">
        <v>47</v>
      </c>
      <c r="H196" s="58">
        <v>3</v>
      </c>
      <c r="I196" s="59">
        <v>149.99</v>
      </c>
      <c r="J196" s="69" t="s">
        <v>27</v>
      </c>
      <c r="K196" s="69" t="s">
        <v>64</v>
      </c>
      <c r="L196" s="69" t="s">
        <v>37</v>
      </c>
      <c r="M196" s="57">
        <v>44395</v>
      </c>
      <c r="N196" s="64">
        <v>449.97</v>
      </c>
    </row>
    <row r="197" spans="1:14">
      <c r="A197" s="67" t="s">
        <v>343</v>
      </c>
      <c r="B197" s="57">
        <v>45676</v>
      </c>
      <c r="C197" s="69" t="s">
        <v>130</v>
      </c>
      <c r="D197" s="69" t="s">
        <v>131</v>
      </c>
      <c r="E197" s="69" t="s">
        <v>32</v>
      </c>
      <c r="F197" s="69" t="s">
        <v>33</v>
      </c>
      <c r="G197" s="69" t="s">
        <v>34</v>
      </c>
      <c r="H197" s="58">
        <v>5</v>
      </c>
      <c r="I197" s="59">
        <v>59.99</v>
      </c>
      <c r="J197" s="69" t="s">
        <v>58</v>
      </c>
      <c r="K197" s="69" t="s">
        <v>64</v>
      </c>
      <c r="L197" s="69" t="s">
        <v>23</v>
      </c>
      <c r="M197" s="57">
        <v>44642</v>
      </c>
      <c r="N197" s="64">
        <v>299.95</v>
      </c>
    </row>
    <row r="198" spans="1:14">
      <c r="A198" s="67" t="s">
        <v>344</v>
      </c>
      <c r="B198" s="57">
        <v>45682</v>
      </c>
      <c r="C198" s="69" t="s">
        <v>69</v>
      </c>
      <c r="D198" s="69" t="s">
        <v>70</v>
      </c>
      <c r="E198" s="69" t="s">
        <v>32</v>
      </c>
      <c r="F198" s="69" t="s">
        <v>33</v>
      </c>
      <c r="G198" s="69" t="s">
        <v>34</v>
      </c>
      <c r="H198" s="58">
        <v>4</v>
      </c>
      <c r="I198" s="59">
        <v>59.99</v>
      </c>
      <c r="J198" s="69" t="s">
        <v>58</v>
      </c>
      <c r="K198" s="69" t="s">
        <v>64</v>
      </c>
      <c r="L198" s="69" t="s">
        <v>37</v>
      </c>
      <c r="M198" s="57">
        <v>44564</v>
      </c>
      <c r="N198" s="64">
        <v>239.96</v>
      </c>
    </row>
    <row r="199" spans="1:14">
      <c r="A199" s="67" t="s">
        <v>345</v>
      </c>
      <c r="B199" s="57">
        <v>45683</v>
      </c>
      <c r="C199" s="69" t="s">
        <v>49</v>
      </c>
      <c r="D199" s="69" t="s">
        <v>50</v>
      </c>
      <c r="E199" s="69" t="s">
        <v>18</v>
      </c>
      <c r="F199" s="69" t="s">
        <v>19</v>
      </c>
      <c r="G199" s="69" t="s">
        <v>20</v>
      </c>
      <c r="H199" s="58">
        <v>4</v>
      </c>
      <c r="I199" s="59">
        <v>249.99</v>
      </c>
      <c r="J199" s="69" t="s">
        <v>58</v>
      </c>
      <c r="K199" s="69" t="s">
        <v>22</v>
      </c>
      <c r="L199" s="69" t="s">
        <v>28</v>
      </c>
      <c r="M199" s="57">
        <v>45217</v>
      </c>
      <c r="N199" s="64">
        <v>999.96</v>
      </c>
    </row>
    <row r="200" spans="1:14">
      <c r="A200" s="67" t="s">
        <v>346</v>
      </c>
      <c r="B200" s="57">
        <v>45686</v>
      </c>
      <c r="C200" s="69" t="s">
        <v>253</v>
      </c>
      <c r="D200" s="69" t="s">
        <v>254</v>
      </c>
      <c r="E200" s="69" t="s">
        <v>62</v>
      </c>
      <c r="F200" s="69" t="s">
        <v>63</v>
      </c>
      <c r="G200" s="69" t="s">
        <v>20</v>
      </c>
      <c r="H200" s="58">
        <v>4</v>
      </c>
      <c r="I200" s="59">
        <v>899.99</v>
      </c>
      <c r="J200" s="69" t="s">
        <v>35</v>
      </c>
      <c r="K200" s="69" t="s">
        <v>22</v>
      </c>
      <c r="L200" s="69" t="s">
        <v>23</v>
      </c>
      <c r="M200" s="57">
        <v>44734</v>
      </c>
      <c r="N200" s="64">
        <v>3599.96</v>
      </c>
    </row>
    <row r="201" spans="1:14">
      <c r="A201" s="67" t="s">
        <v>347</v>
      </c>
      <c r="B201" s="57">
        <v>45686</v>
      </c>
      <c r="C201" s="69" t="s">
        <v>87</v>
      </c>
      <c r="D201" s="69" t="s">
        <v>88</v>
      </c>
      <c r="E201" s="69" t="s">
        <v>106</v>
      </c>
      <c r="F201" s="69" t="s">
        <v>107</v>
      </c>
      <c r="G201" s="69" t="s">
        <v>47</v>
      </c>
      <c r="H201" s="58">
        <v>3</v>
      </c>
      <c r="I201" s="59">
        <v>299.99</v>
      </c>
      <c r="J201" s="69" t="s">
        <v>58</v>
      </c>
      <c r="K201" s="69" t="s">
        <v>51</v>
      </c>
      <c r="L201" s="69" t="s">
        <v>37</v>
      </c>
      <c r="M201" s="57">
        <v>44952</v>
      </c>
      <c r="N201" s="64">
        <v>899.97</v>
      </c>
    </row>
    <row r="202" spans="1:14">
      <c r="A202" s="67" t="s">
        <v>348</v>
      </c>
      <c r="B202" s="57">
        <v>45686</v>
      </c>
      <c r="C202" s="69" t="s">
        <v>294</v>
      </c>
      <c r="D202" s="69" t="s">
        <v>295</v>
      </c>
      <c r="E202" s="69" t="s">
        <v>81</v>
      </c>
      <c r="F202" s="69" t="s">
        <v>82</v>
      </c>
      <c r="G202" s="69" t="s">
        <v>20</v>
      </c>
      <c r="H202" s="58">
        <v>2</v>
      </c>
      <c r="I202" s="59">
        <v>699.99</v>
      </c>
      <c r="J202" s="69" t="s">
        <v>58</v>
      </c>
      <c r="K202" s="69" t="s">
        <v>22</v>
      </c>
      <c r="L202" s="69" t="s">
        <v>28</v>
      </c>
      <c r="M202" s="57">
        <v>44681</v>
      </c>
      <c r="N202" s="64">
        <v>1399.98</v>
      </c>
    </row>
    <row r="203" spans="1:14">
      <c r="A203" s="67" t="s">
        <v>349</v>
      </c>
      <c r="B203" s="57">
        <v>45688</v>
      </c>
      <c r="C203" s="69" t="s">
        <v>66</v>
      </c>
      <c r="D203" s="69" t="s">
        <v>67</v>
      </c>
      <c r="E203" s="69" t="s">
        <v>81</v>
      </c>
      <c r="F203" s="69" t="s">
        <v>82</v>
      </c>
      <c r="G203" s="69" t="s">
        <v>20</v>
      </c>
      <c r="H203" s="58">
        <v>4</v>
      </c>
      <c r="I203" s="59">
        <v>699.99</v>
      </c>
      <c r="J203" s="69" t="s">
        <v>58</v>
      </c>
      <c r="K203" s="69" t="s">
        <v>51</v>
      </c>
      <c r="L203" s="69" t="s">
        <v>28</v>
      </c>
      <c r="M203" s="57">
        <v>44692</v>
      </c>
      <c r="N203" s="64">
        <v>2799.96</v>
      </c>
    </row>
    <row r="204" spans="1:14">
      <c r="A204" s="67" t="s">
        <v>350</v>
      </c>
      <c r="B204" s="57">
        <v>45688</v>
      </c>
      <c r="C204" s="69" t="s">
        <v>124</v>
      </c>
      <c r="D204" s="69" t="s">
        <v>125</v>
      </c>
      <c r="E204" s="69" t="s">
        <v>118</v>
      </c>
      <c r="F204" s="69" t="s">
        <v>119</v>
      </c>
      <c r="G204" s="69" t="s">
        <v>20</v>
      </c>
      <c r="H204" s="58">
        <v>2</v>
      </c>
      <c r="I204" s="59">
        <v>89.99</v>
      </c>
      <c r="J204" s="69" t="s">
        <v>58</v>
      </c>
      <c r="K204" s="69" t="s">
        <v>36</v>
      </c>
      <c r="L204" s="69" t="s">
        <v>23</v>
      </c>
      <c r="M204" s="57">
        <v>44777</v>
      </c>
      <c r="N204" s="64">
        <v>179.98</v>
      </c>
    </row>
    <row r="205" spans="1:14">
      <c r="A205" s="67" t="s">
        <v>351</v>
      </c>
      <c r="B205" s="57">
        <v>45688</v>
      </c>
      <c r="C205" s="69" t="s">
        <v>43</v>
      </c>
      <c r="D205" s="69" t="s">
        <v>44</v>
      </c>
      <c r="E205" s="69" t="s">
        <v>118</v>
      </c>
      <c r="F205" s="69" t="s">
        <v>119</v>
      </c>
      <c r="G205" s="69" t="s">
        <v>20</v>
      </c>
      <c r="H205" s="58">
        <v>3</v>
      </c>
      <c r="I205" s="59">
        <v>89.99</v>
      </c>
      <c r="J205" s="69" t="s">
        <v>58</v>
      </c>
      <c r="K205" s="69" t="s">
        <v>36</v>
      </c>
      <c r="L205" s="69" t="s">
        <v>28</v>
      </c>
      <c r="M205" s="57">
        <v>45307</v>
      </c>
      <c r="N205" s="64">
        <v>269.97000000000003</v>
      </c>
    </row>
    <row r="206" spans="1:14">
      <c r="A206" s="67" t="s">
        <v>352</v>
      </c>
      <c r="B206" s="57">
        <v>45692</v>
      </c>
      <c r="C206" s="69" t="s">
        <v>326</v>
      </c>
      <c r="D206" s="69" t="s">
        <v>327</v>
      </c>
      <c r="E206" s="69" t="s">
        <v>32</v>
      </c>
      <c r="F206" s="69" t="s">
        <v>33</v>
      </c>
      <c r="G206" s="69" t="s">
        <v>34</v>
      </c>
      <c r="H206" s="58">
        <v>1</v>
      </c>
      <c r="I206" s="59">
        <v>59.99</v>
      </c>
      <c r="J206" s="69" t="s">
        <v>58</v>
      </c>
      <c r="K206" s="69" t="s">
        <v>22</v>
      </c>
      <c r="L206" s="69" t="s">
        <v>37</v>
      </c>
      <c r="M206" s="57">
        <v>45045</v>
      </c>
      <c r="N206" s="64">
        <v>59.99</v>
      </c>
    </row>
    <row r="207" spans="1:14">
      <c r="A207" s="67" t="s">
        <v>353</v>
      </c>
      <c r="B207" s="57">
        <v>45695</v>
      </c>
      <c r="C207" s="69" t="s">
        <v>247</v>
      </c>
      <c r="D207" s="69" t="s">
        <v>248</v>
      </c>
      <c r="E207" s="69" t="s">
        <v>45</v>
      </c>
      <c r="F207" s="69" t="s">
        <v>46</v>
      </c>
      <c r="G207" s="69" t="s">
        <v>47</v>
      </c>
      <c r="H207" s="58">
        <v>3</v>
      </c>
      <c r="I207" s="59">
        <v>149.99</v>
      </c>
      <c r="J207" s="69" t="s">
        <v>58</v>
      </c>
      <c r="K207" s="69" t="s">
        <v>41</v>
      </c>
      <c r="L207" s="69" t="s">
        <v>28</v>
      </c>
      <c r="M207" s="57">
        <v>44564</v>
      </c>
      <c r="N207" s="64">
        <v>449.97</v>
      </c>
    </row>
    <row r="208" spans="1:14">
      <c r="A208" s="67" t="s">
        <v>354</v>
      </c>
      <c r="B208" s="57">
        <v>45695</v>
      </c>
      <c r="C208" s="69" t="s">
        <v>94</v>
      </c>
      <c r="D208" s="69" t="s">
        <v>95</v>
      </c>
      <c r="E208" s="69" t="s">
        <v>106</v>
      </c>
      <c r="F208" s="69" t="s">
        <v>107</v>
      </c>
      <c r="G208" s="69" t="s">
        <v>47</v>
      </c>
      <c r="H208" s="58">
        <v>5</v>
      </c>
      <c r="I208" s="59">
        <v>299.99</v>
      </c>
      <c r="J208" s="69" t="s">
        <v>27</v>
      </c>
      <c r="K208" s="69" t="s">
        <v>36</v>
      </c>
      <c r="L208" s="69" t="s">
        <v>23</v>
      </c>
      <c r="M208" s="57">
        <v>44959</v>
      </c>
      <c r="N208" s="64">
        <v>1499.95</v>
      </c>
    </row>
    <row r="209" spans="1:14">
      <c r="A209" s="67" t="s">
        <v>355</v>
      </c>
      <c r="B209" s="57">
        <v>45696</v>
      </c>
      <c r="C209" s="69" t="s">
        <v>151</v>
      </c>
      <c r="D209" s="69" t="s">
        <v>152</v>
      </c>
      <c r="E209" s="69" t="s">
        <v>32</v>
      </c>
      <c r="F209" s="69" t="s">
        <v>33</v>
      </c>
      <c r="G209" s="69" t="s">
        <v>34</v>
      </c>
      <c r="H209" s="58">
        <v>5</v>
      </c>
      <c r="I209" s="59">
        <v>59.99</v>
      </c>
      <c r="J209" s="69" t="s">
        <v>58</v>
      </c>
      <c r="K209" s="69" t="s">
        <v>22</v>
      </c>
      <c r="L209" s="69" t="s">
        <v>37</v>
      </c>
      <c r="M209" s="57">
        <v>45177</v>
      </c>
      <c r="N209" s="64">
        <v>299.95</v>
      </c>
    </row>
    <row r="210" spans="1:14">
      <c r="A210" s="67" t="s">
        <v>356</v>
      </c>
      <c r="B210" s="57">
        <v>45701</v>
      </c>
      <c r="C210" s="69" t="s">
        <v>109</v>
      </c>
      <c r="D210" s="69" t="s">
        <v>110</v>
      </c>
      <c r="E210" s="69" t="s">
        <v>115</v>
      </c>
      <c r="F210" s="69" t="s">
        <v>116</v>
      </c>
      <c r="G210" s="69" t="s">
        <v>34</v>
      </c>
      <c r="H210" s="58">
        <v>3</v>
      </c>
      <c r="I210" s="59">
        <v>79.989999999999995</v>
      </c>
      <c r="J210" s="69" t="s">
        <v>21</v>
      </c>
      <c r="K210" s="69" t="s">
        <v>64</v>
      </c>
      <c r="L210" s="69" t="s">
        <v>28</v>
      </c>
      <c r="M210" s="57">
        <v>44436</v>
      </c>
      <c r="N210" s="64">
        <v>239.97</v>
      </c>
    </row>
    <row r="211" spans="1:14">
      <c r="A211" s="67" t="s">
        <v>357</v>
      </c>
      <c r="B211" s="57">
        <v>45704</v>
      </c>
      <c r="C211" s="69" t="s">
        <v>30</v>
      </c>
      <c r="D211" s="69" t="s">
        <v>31</v>
      </c>
      <c r="E211" s="69" t="s">
        <v>127</v>
      </c>
      <c r="F211" s="69" t="s">
        <v>128</v>
      </c>
      <c r="G211" s="69" t="s">
        <v>47</v>
      </c>
      <c r="H211" s="58">
        <v>3</v>
      </c>
      <c r="I211" s="59">
        <v>199.99</v>
      </c>
      <c r="J211" s="69" t="s">
        <v>21</v>
      </c>
      <c r="K211" s="69" t="s">
        <v>22</v>
      </c>
      <c r="L211" s="69" t="s">
        <v>23</v>
      </c>
      <c r="M211" s="57">
        <v>44735</v>
      </c>
      <c r="N211" s="64">
        <v>599.97</v>
      </c>
    </row>
    <row r="212" spans="1:14">
      <c r="A212" s="67" t="s">
        <v>358</v>
      </c>
      <c r="B212" s="57">
        <v>45704</v>
      </c>
      <c r="C212" s="69" t="s">
        <v>16</v>
      </c>
      <c r="D212" s="69" t="s">
        <v>17</v>
      </c>
      <c r="E212" s="69" t="s">
        <v>118</v>
      </c>
      <c r="F212" s="69" t="s">
        <v>119</v>
      </c>
      <c r="G212" s="69" t="s">
        <v>20</v>
      </c>
      <c r="H212" s="58">
        <v>2</v>
      </c>
      <c r="I212" s="59">
        <v>89.99</v>
      </c>
      <c r="J212" s="69" t="s">
        <v>35</v>
      </c>
      <c r="K212" s="69" t="s">
        <v>22</v>
      </c>
      <c r="L212" s="69" t="s">
        <v>23</v>
      </c>
      <c r="M212" s="57">
        <v>45257</v>
      </c>
      <c r="N212" s="64">
        <v>179.98</v>
      </c>
    </row>
    <row r="213" spans="1:14">
      <c r="A213" s="67" t="s">
        <v>359</v>
      </c>
      <c r="B213" s="57">
        <v>45705</v>
      </c>
      <c r="C213" s="69" t="s">
        <v>260</v>
      </c>
      <c r="D213" s="69" t="s">
        <v>261</v>
      </c>
      <c r="E213" s="69" t="s">
        <v>45</v>
      </c>
      <c r="F213" s="69" t="s">
        <v>46</v>
      </c>
      <c r="G213" s="69" t="s">
        <v>47</v>
      </c>
      <c r="H213" s="58">
        <v>2</v>
      </c>
      <c r="I213" s="59">
        <v>149.99</v>
      </c>
      <c r="J213" s="69" t="s">
        <v>21</v>
      </c>
      <c r="K213" s="69" t="s">
        <v>36</v>
      </c>
      <c r="L213" s="69" t="s">
        <v>28</v>
      </c>
      <c r="M213" s="57">
        <v>44728</v>
      </c>
      <c r="N213" s="64">
        <v>299.98</v>
      </c>
    </row>
    <row r="214" spans="1:14">
      <c r="A214" s="67" t="s">
        <v>360</v>
      </c>
      <c r="B214" s="57">
        <v>45707</v>
      </c>
      <c r="C214" s="69" t="s">
        <v>124</v>
      </c>
      <c r="D214" s="69" t="s">
        <v>125</v>
      </c>
      <c r="E214" s="69" t="s">
        <v>81</v>
      </c>
      <c r="F214" s="69" t="s">
        <v>82</v>
      </c>
      <c r="G214" s="69" t="s">
        <v>20</v>
      </c>
      <c r="H214" s="58">
        <v>5</v>
      </c>
      <c r="I214" s="59">
        <v>699.99</v>
      </c>
      <c r="J214" s="69" t="s">
        <v>35</v>
      </c>
      <c r="K214" s="69" t="s">
        <v>36</v>
      </c>
      <c r="L214" s="69" t="s">
        <v>28</v>
      </c>
      <c r="M214" s="57">
        <v>45352</v>
      </c>
      <c r="N214" s="64">
        <v>3499.95</v>
      </c>
    </row>
    <row r="215" spans="1:14">
      <c r="A215" s="67" t="s">
        <v>361</v>
      </c>
      <c r="B215" s="57">
        <v>45707</v>
      </c>
      <c r="C215" s="69" t="s">
        <v>43</v>
      </c>
      <c r="D215" s="69" t="s">
        <v>44</v>
      </c>
      <c r="E215" s="69" t="s">
        <v>45</v>
      </c>
      <c r="F215" s="69" t="s">
        <v>46</v>
      </c>
      <c r="G215" s="69" t="s">
        <v>47</v>
      </c>
      <c r="H215" s="58">
        <v>3</v>
      </c>
      <c r="I215" s="59">
        <v>149.99</v>
      </c>
      <c r="J215" s="69" t="s">
        <v>35</v>
      </c>
      <c r="K215" s="69" t="s">
        <v>22</v>
      </c>
      <c r="L215" s="69" t="s">
        <v>37</v>
      </c>
      <c r="M215" s="57">
        <v>44633</v>
      </c>
      <c r="N215" s="64">
        <v>449.97</v>
      </c>
    </row>
    <row r="216" spans="1:14">
      <c r="A216" s="67" t="s">
        <v>362</v>
      </c>
      <c r="B216" s="57">
        <v>45708</v>
      </c>
      <c r="C216" s="69" t="s">
        <v>97</v>
      </c>
      <c r="D216" s="69" t="s">
        <v>98</v>
      </c>
      <c r="E216" s="69" t="s">
        <v>62</v>
      </c>
      <c r="F216" s="69" t="s">
        <v>63</v>
      </c>
      <c r="G216" s="69" t="s">
        <v>20</v>
      </c>
      <c r="H216" s="58">
        <v>3</v>
      </c>
      <c r="I216" s="59">
        <v>899.99</v>
      </c>
      <c r="J216" s="69" t="s">
        <v>21</v>
      </c>
      <c r="K216" s="69" t="s">
        <v>64</v>
      </c>
      <c r="L216" s="69" t="s">
        <v>37</v>
      </c>
      <c r="M216" s="57">
        <v>44613</v>
      </c>
      <c r="N216" s="64">
        <v>2699.97</v>
      </c>
    </row>
    <row r="217" spans="1:14">
      <c r="A217" s="67" t="s">
        <v>363</v>
      </c>
      <c r="B217" s="57">
        <v>45708</v>
      </c>
      <c r="C217" s="69" t="s">
        <v>193</v>
      </c>
      <c r="D217" s="69" t="s">
        <v>194</v>
      </c>
      <c r="E217" s="69" t="s">
        <v>127</v>
      </c>
      <c r="F217" s="69" t="s">
        <v>128</v>
      </c>
      <c r="G217" s="69" t="s">
        <v>47</v>
      </c>
      <c r="H217" s="58">
        <v>3</v>
      </c>
      <c r="I217" s="59">
        <v>199.99</v>
      </c>
      <c r="J217" s="69" t="s">
        <v>21</v>
      </c>
      <c r="K217" s="69" t="s">
        <v>51</v>
      </c>
      <c r="L217" s="69" t="s">
        <v>28</v>
      </c>
      <c r="M217" s="57">
        <v>44823</v>
      </c>
      <c r="N217" s="64">
        <v>599.97</v>
      </c>
    </row>
    <row r="218" spans="1:14">
      <c r="A218" s="67" t="s">
        <v>364</v>
      </c>
      <c r="B218" s="57">
        <v>45710</v>
      </c>
      <c r="C218" s="69" t="s">
        <v>56</v>
      </c>
      <c r="D218" s="69" t="s">
        <v>57</v>
      </c>
      <c r="E218" s="69" t="s">
        <v>106</v>
      </c>
      <c r="F218" s="69" t="s">
        <v>107</v>
      </c>
      <c r="G218" s="69" t="s">
        <v>47</v>
      </c>
      <c r="H218" s="58">
        <v>5</v>
      </c>
      <c r="I218" s="59">
        <v>299.99</v>
      </c>
      <c r="J218" s="69" t="s">
        <v>21</v>
      </c>
      <c r="K218" s="69" t="s">
        <v>51</v>
      </c>
      <c r="L218" s="69" t="s">
        <v>37</v>
      </c>
      <c r="M218" s="57">
        <v>45142</v>
      </c>
      <c r="N218" s="64">
        <v>1499.95</v>
      </c>
    </row>
    <row r="219" spans="1:14">
      <c r="A219" s="67" t="s">
        <v>365</v>
      </c>
      <c r="B219" s="57">
        <v>45710</v>
      </c>
      <c r="C219" s="69" t="s">
        <v>151</v>
      </c>
      <c r="D219" s="69" t="s">
        <v>152</v>
      </c>
      <c r="E219" s="69" t="s">
        <v>81</v>
      </c>
      <c r="F219" s="69" t="s">
        <v>82</v>
      </c>
      <c r="G219" s="69" t="s">
        <v>20</v>
      </c>
      <c r="H219" s="58">
        <v>1</v>
      </c>
      <c r="I219" s="59">
        <v>699.99</v>
      </c>
      <c r="J219" s="69" t="s">
        <v>35</v>
      </c>
      <c r="K219" s="69" t="s">
        <v>51</v>
      </c>
      <c r="L219" s="69" t="s">
        <v>23</v>
      </c>
      <c r="M219" s="57">
        <v>44934</v>
      </c>
      <c r="N219" s="64">
        <v>699.99</v>
      </c>
    </row>
    <row r="220" spans="1:14">
      <c r="A220" s="67" t="s">
        <v>366</v>
      </c>
      <c r="B220" s="57">
        <v>45711</v>
      </c>
      <c r="C220" s="69" t="s">
        <v>247</v>
      </c>
      <c r="D220" s="69" t="s">
        <v>248</v>
      </c>
      <c r="E220" s="69" t="s">
        <v>81</v>
      </c>
      <c r="F220" s="69" t="s">
        <v>82</v>
      </c>
      <c r="G220" s="69" t="s">
        <v>20</v>
      </c>
      <c r="H220" s="58">
        <v>1</v>
      </c>
      <c r="I220" s="59">
        <v>699.99</v>
      </c>
      <c r="J220" s="69" t="s">
        <v>21</v>
      </c>
      <c r="K220" s="69" t="s">
        <v>41</v>
      </c>
      <c r="L220" s="69" t="s">
        <v>28</v>
      </c>
      <c r="M220" s="57">
        <v>44583</v>
      </c>
      <c r="N220" s="64">
        <v>699.99</v>
      </c>
    </row>
    <row r="221" spans="1:14">
      <c r="A221" s="67" t="s">
        <v>367</v>
      </c>
      <c r="B221" s="57">
        <v>45711</v>
      </c>
      <c r="C221" s="69" t="s">
        <v>326</v>
      </c>
      <c r="D221" s="69" t="s">
        <v>327</v>
      </c>
      <c r="E221" s="69" t="s">
        <v>45</v>
      </c>
      <c r="F221" s="69" t="s">
        <v>46</v>
      </c>
      <c r="G221" s="69" t="s">
        <v>47</v>
      </c>
      <c r="H221" s="58">
        <v>4</v>
      </c>
      <c r="I221" s="59">
        <v>149.99</v>
      </c>
      <c r="J221" s="69" t="s">
        <v>35</v>
      </c>
      <c r="K221" s="69" t="s">
        <v>41</v>
      </c>
      <c r="L221" s="69" t="s">
        <v>28</v>
      </c>
      <c r="M221" s="57">
        <v>44412</v>
      </c>
      <c r="N221" s="64">
        <v>599.96</v>
      </c>
    </row>
    <row r="222" spans="1:14">
      <c r="A222" s="67" t="s">
        <v>368</v>
      </c>
      <c r="B222" s="57">
        <v>45711</v>
      </c>
      <c r="C222" s="69" t="s">
        <v>212</v>
      </c>
      <c r="D222" s="69" t="s">
        <v>213</v>
      </c>
      <c r="E222" s="69" t="s">
        <v>118</v>
      </c>
      <c r="F222" s="69" t="s">
        <v>119</v>
      </c>
      <c r="G222" s="69" t="s">
        <v>20</v>
      </c>
      <c r="H222" s="58">
        <v>5</v>
      </c>
      <c r="I222" s="59">
        <v>89.99</v>
      </c>
      <c r="J222" s="69" t="s">
        <v>35</v>
      </c>
      <c r="K222" s="69" t="s">
        <v>51</v>
      </c>
      <c r="L222" s="69" t="s">
        <v>28</v>
      </c>
      <c r="M222" s="57">
        <v>45140</v>
      </c>
      <c r="N222" s="64">
        <v>449.95</v>
      </c>
    </row>
    <row r="223" spans="1:14">
      <c r="A223" s="67" t="s">
        <v>369</v>
      </c>
      <c r="B223" s="57">
        <v>45712</v>
      </c>
      <c r="C223" s="69" t="s">
        <v>139</v>
      </c>
      <c r="D223" s="69" t="s">
        <v>140</v>
      </c>
      <c r="E223" s="69" t="s">
        <v>127</v>
      </c>
      <c r="F223" s="69" t="s">
        <v>128</v>
      </c>
      <c r="G223" s="69" t="s">
        <v>47</v>
      </c>
      <c r="H223" s="58">
        <v>2</v>
      </c>
      <c r="I223" s="59">
        <v>199.99</v>
      </c>
      <c r="J223" s="69" t="s">
        <v>21</v>
      </c>
      <c r="K223" s="69" t="s">
        <v>22</v>
      </c>
      <c r="L223" s="69" t="s">
        <v>28</v>
      </c>
      <c r="M223" s="57">
        <v>44573</v>
      </c>
      <c r="N223" s="64">
        <v>399.98</v>
      </c>
    </row>
    <row r="224" spans="1:14">
      <c r="A224" s="67" t="s">
        <v>370</v>
      </c>
      <c r="B224" s="57">
        <v>45715</v>
      </c>
      <c r="C224" s="69" t="s">
        <v>260</v>
      </c>
      <c r="D224" s="69" t="s">
        <v>261</v>
      </c>
      <c r="E224" s="69" t="s">
        <v>32</v>
      </c>
      <c r="F224" s="69" t="s">
        <v>33</v>
      </c>
      <c r="G224" s="69" t="s">
        <v>34</v>
      </c>
      <c r="H224" s="58">
        <v>4</v>
      </c>
      <c r="I224" s="59">
        <v>59.99</v>
      </c>
      <c r="J224" s="69" t="s">
        <v>21</v>
      </c>
      <c r="K224" s="69" t="s">
        <v>51</v>
      </c>
      <c r="L224" s="69" t="s">
        <v>37</v>
      </c>
      <c r="M224" s="57">
        <v>45070</v>
      </c>
      <c r="N224" s="64">
        <v>239.96</v>
      </c>
    </row>
    <row r="225" spans="1:14">
      <c r="A225" s="67" t="s">
        <v>371</v>
      </c>
      <c r="B225" s="57">
        <v>45715</v>
      </c>
      <c r="C225" s="69" t="s">
        <v>94</v>
      </c>
      <c r="D225" s="69" t="s">
        <v>95</v>
      </c>
      <c r="E225" s="69" t="s">
        <v>106</v>
      </c>
      <c r="F225" s="69" t="s">
        <v>107</v>
      </c>
      <c r="G225" s="69" t="s">
        <v>47</v>
      </c>
      <c r="H225" s="58">
        <v>2</v>
      </c>
      <c r="I225" s="59">
        <v>299.99</v>
      </c>
      <c r="J225" s="69" t="s">
        <v>35</v>
      </c>
      <c r="K225" s="69" t="s">
        <v>36</v>
      </c>
      <c r="L225" s="69" t="s">
        <v>23</v>
      </c>
      <c r="M225" s="57">
        <v>44576</v>
      </c>
      <c r="N225" s="64">
        <v>599.98</v>
      </c>
    </row>
    <row r="226" spans="1:14">
      <c r="A226" s="67" t="s">
        <v>372</v>
      </c>
      <c r="B226" s="57">
        <v>45718</v>
      </c>
      <c r="C226" s="69" t="s">
        <v>56</v>
      </c>
      <c r="D226" s="69" t="s">
        <v>57</v>
      </c>
      <c r="E226" s="69" t="s">
        <v>45</v>
      </c>
      <c r="F226" s="69" t="s">
        <v>46</v>
      </c>
      <c r="G226" s="69" t="s">
        <v>47</v>
      </c>
      <c r="H226" s="58">
        <v>2</v>
      </c>
      <c r="I226" s="59">
        <v>149.99</v>
      </c>
      <c r="J226" s="69" t="s">
        <v>21</v>
      </c>
      <c r="K226" s="69" t="s">
        <v>22</v>
      </c>
      <c r="L226" s="69" t="s">
        <v>23</v>
      </c>
      <c r="M226" s="57">
        <v>45068</v>
      </c>
      <c r="N226" s="64">
        <v>299.98</v>
      </c>
    </row>
    <row r="227" spans="1:14">
      <c r="A227" s="67" t="s">
        <v>373</v>
      </c>
      <c r="B227" s="57">
        <v>45720</v>
      </c>
      <c r="C227" s="69" t="s">
        <v>227</v>
      </c>
      <c r="D227" s="69" t="s">
        <v>228</v>
      </c>
      <c r="E227" s="69" t="s">
        <v>81</v>
      </c>
      <c r="F227" s="69" t="s">
        <v>82</v>
      </c>
      <c r="G227" s="69" t="s">
        <v>20</v>
      </c>
      <c r="H227" s="58">
        <v>5</v>
      </c>
      <c r="I227" s="59">
        <v>699.99</v>
      </c>
      <c r="J227" s="69" t="s">
        <v>58</v>
      </c>
      <c r="K227" s="69" t="s">
        <v>64</v>
      </c>
      <c r="L227" s="69" t="s">
        <v>28</v>
      </c>
      <c r="M227" s="57">
        <v>45161</v>
      </c>
      <c r="N227" s="64">
        <v>3499.95</v>
      </c>
    </row>
    <row r="228" spans="1:14">
      <c r="A228" s="67" t="s">
        <v>374</v>
      </c>
      <c r="B228" s="57">
        <v>45721</v>
      </c>
      <c r="C228" s="69" t="s">
        <v>76</v>
      </c>
      <c r="D228" s="69" t="s">
        <v>77</v>
      </c>
      <c r="E228" s="69" t="s">
        <v>32</v>
      </c>
      <c r="F228" s="69" t="s">
        <v>33</v>
      </c>
      <c r="G228" s="69" t="s">
        <v>34</v>
      </c>
      <c r="H228" s="58">
        <v>5</v>
      </c>
      <c r="I228" s="59">
        <v>59.99</v>
      </c>
      <c r="J228" s="69" t="s">
        <v>21</v>
      </c>
      <c r="K228" s="69" t="s">
        <v>51</v>
      </c>
      <c r="L228" s="69" t="s">
        <v>28</v>
      </c>
      <c r="M228" s="57">
        <v>45291</v>
      </c>
      <c r="N228" s="64">
        <v>299.95</v>
      </c>
    </row>
    <row r="229" spans="1:14">
      <c r="A229" s="67" t="s">
        <v>375</v>
      </c>
      <c r="B229" s="57">
        <v>45723</v>
      </c>
      <c r="C229" s="69" t="s">
        <v>16</v>
      </c>
      <c r="D229" s="69" t="s">
        <v>17</v>
      </c>
      <c r="E229" s="69" t="s">
        <v>118</v>
      </c>
      <c r="F229" s="69" t="s">
        <v>119</v>
      </c>
      <c r="G229" s="69" t="s">
        <v>20</v>
      </c>
      <c r="H229" s="58">
        <v>2</v>
      </c>
      <c r="I229" s="59">
        <v>89.99</v>
      </c>
      <c r="J229" s="69" t="s">
        <v>27</v>
      </c>
      <c r="K229" s="69" t="s">
        <v>51</v>
      </c>
      <c r="L229" s="69" t="s">
        <v>28</v>
      </c>
      <c r="M229" s="57">
        <v>45295</v>
      </c>
      <c r="N229" s="64">
        <v>179.98</v>
      </c>
    </row>
    <row r="230" spans="1:14">
      <c r="A230" s="67" t="s">
        <v>376</v>
      </c>
      <c r="B230" s="57">
        <v>45723</v>
      </c>
      <c r="C230" s="69" t="s">
        <v>121</v>
      </c>
      <c r="D230" s="69" t="s">
        <v>122</v>
      </c>
      <c r="E230" s="69" t="s">
        <v>18</v>
      </c>
      <c r="F230" s="69" t="s">
        <v>19</v>
      </c>
      <c r="G230" s="69" t="s">
        <v>20</v>
      </c>
      <c r="H230" s="58">
        <v>5</v>
      </c>
      <c r="I230" s="59">
        <v>249.99</v>
      </c>
      <c r="J230" s="69" t="s">
        <v>21</v>
      </c>
      <c r="K230" s="69" t="s">
        <v>64</v>
      </c>
      <c r="L230" s="69" t="s">
        <v>37</v>
      </c>
      <c r="M230" s="57">
        <v>44540</v>
      </c>
      <c r="N230" s="64">
        <v>1249.95</v>
      </c>
    </row>
    <row r="231" spans="1:14">
      <c r="A231" s="67" t="s">
        <v>377</v>
      </c>
      <c r="B231" s="57">
        <v>45724</v>
      </c>
      <c r="C231" s="69" t="s">
        <v>227</v>
      </c>
      <c r="D231" s="69" t="s">
        <v>228</v>
      </c>
      <c r="E231" s="69" t="s">
        <v>45</v>
      </c>
      <c r="F231" s="69" t="s">
        <v>46</v>
      </c>
      <c r="G231" s="69" t="s">
        <v>47</v>
      </c>
      <c r="H231" s="58">
        <v>2</v>
      </c>
      <c r="I231" s="59">
        <v>149.99</v>
      </c>
      <c r="J231" s="69" t="s">
        <v>35</v>
      </c>
      <c r="K231" s="69" t="s">
        <v>22</v>
      </c>
      <c r="L231" s="69" t="s">
        <v>28</v>
      </c>
      <c r="M231" s="57">
        <v>44632</v>
      </c>
      <c r="N231" s="64">
        <v>299.98</v>
      </c>
    </row>
    <row r="232" spans="1:14">
      <c r="A232" s="67" t="s">
        <v>378</v>
      </c>
      <c r="B232" s="57">
        <v>45724</v>
      </c>
      <c r="C232" s="69" t="s">
        <v>145</v>
      </c>
      <c r="D232" s="69" t="s">
        <v>146</v>
      </c>
      <c r="E232" s="69" t="s">
        <v>62</v>
      </c>
      <c r="F232" s="69" t="s">
        <v>63</v>
      </c>
      <c r="G232" s="69" t="s">
        <v>20</v>
      </c>
      <c r="H232" s="58">
        <v>5</v>
      </c>
      <c r="I232" s="59">
        <v>899.99</v>
      </c>
      <c r="J232" s="69" t="s">
        <v>35</v>
      </c>
      <c r="K232" s="69" t="s">
        <v>64</v>
      </c>
      <c r="L232" s="69" t="s">
        <v>28</v>
      </c>
      <c r="M232" s="57">
        <v>45389</v>
      </c>
      <c r="N232" s="64">
        <v>4499.95</v>
      </c>
    </row>
    <row r="233" spans="1:14">
      <c r="A233" s="67" t="s">
        <v>379</v>
      </c>
      <c r="B233" s="57">
        <v>45724</v>
      </c>
      <c r="C233" s="69" t="s">
        <v>56</v>
      </c>
      <c r="D233" s="69" t="s">
        <v>57</v>
      </c>
      <c r="E233" s="69" t="s">
        <v>45</v>
      </c>
      <c r="F233" s="69" t="s">
        <v>46</v>
      </c>
      <c r="G233" s="69" t="s">
        <v>47</v>
      </c>
      <c r="H233" s="58">
        <v>4</v>
      </c>
      <c r="I233" s="59">
        <v>149.99</v>
      </c>
      <c r="J233" s="69" t="s">
        <v>21</v>
      </c>
      <c r="K233" s="69" t="s">
        <v>22</v>
      </c>
      <c r="L233" s="69" t="s">
        <v>37</v>
      </c>
      <c r="M233" s="57">
        <v>45263</v>
      </c>
      <c r="N233" s="64">
        <v>599.96</v>
      </c>
    </row>
    <row r="234" spans="1:14">
      <c r="A234" s="67" t="s">
        <v>380</v>
      </c>
      <c r="B234" s="57">
        <v>45726</v>
      </c>
      <c r="C234" s="69" t="s">
        <v>145</v>
      </c>
      <c r="D234" s="69" t="s">
        <v>146</v>
      </c>
      <c r="E234" s="69" t="s">
        <v>18</v>
      </c>
      <c r="F234" s="69" t="s">
        <v>19</v>
      </c>
      <c r="G234" s="69" t="s">
        <v>20</v>
      </c>
      <c r="H234" s="58">
        <v>1</v>
      </c>
      <c r="I234" s="59">
        <v>249.99</v>
      </c>
      <c r="J234" s="69" t="s">
        <v>21</v>
      </c>
      <c r="K234" s="69" t="s">
        <v>41</v>
      </c>
      <c r="L234" s="69" t="s">
        <v>37</v>
      </c>
      <c r="M234" s="57">
        <v>45117</v>
      </c>
      <c r="N234" s="64">
        <v>249.99</v>
      </c>
    </row>
    <row r="235" spans="1:14">
      <c r="A235" s="67" t="s">
        <v>381</v>
      </c>
      <c r="B235" s="57">
        <v>45734</v>
      </c>
      <c r="C235" s="69" t="s">
        <v>193</v>
      </c>
      <c r="D235" s="69" t="s">
        <v>194</v>
      </c>
      <c r="E235" s="69" t="s">
        <v>32</v>
      </c>
      <c r="F235" s="69" t="s">
        <v>33</v>
      </c>
      <c r="G235" s="69" t="s">
        <v>34</v>
      </c>
      <c r="H235" s="58">
        <v>2</v>
      </c>
      <c r="I235" s="59">
        <v>59.99</v>
      </c>
      <c r="J235" s="69" t="s">
        <v>27</v>
      </c>
      <c r="K235" s="69" t="s">
        <v>51</v>
      </c>
      <c r="L235" s="69" t="s">
        <v>23</v>
      </c>
      <c r="M235" s="57">
        <v>45193</v>
      </c>
      <c r="N235" s="64">
        <v>119.98</v>
      </c>
    </row>
    <row r="236" spans="1:14">
      <c r="A236" s="67" t="s">
        <v>382</v>
      </c>
      <c r="B236" s="57">
        <v>45737</v>
      </c>
      <c r="C236" s="69" t="s">
        <v>133</v>
      </c>
      <c r="D236" s="69" t="s">
        <v>134</v>
      </c>
      <c r="E236" s="69" t="s">
        <v>45</v>
      </c>
      <c r="F236" s="69" t="s">
        <v>46</v>
      </c>
      <c r="G236" s="69" t="s">
        <v>47</v>
      </c>
      <c r="H236" s="58">
        <v>2</v>
      </c>
      <c r="I236" s="59">
        <v>149.99</v>
      </c>
      <c r="J236" s="69" t="s">
        <v>21</v>
      </c>
      <c r="K236" s="69" t="s">
        <v>51</v>
      </c>
      <c r="L236" s="69" t="s">
        <v>28</v>
      </c>
      <c r="M236" s="57">
        <v>45233</v>
      </c>
      <c r="N236" s="64">
        <v>299.98</v>
      </c>
    </row>
    <row r="237" spans="1:14">
      <c r="A237" s="67" t="s">
        <v>383</v>
      </c>
      <c r="B237" s="57">
        <v>45737</v>
      </c>
      <c r="C237" s="69" t="s">
        <v>151</v>
      </c>
      <c r="D237" s="69" t="s">
        <v>152</v>
      </c>
      <c r="E237" s="69" t="s">
        <v>62</v>
      </c>
      <c r="F237" s="69" t="s">
        <v>63</v>
      </c>
      <c r="G237" s="69" t="s">
        <v>20</v>
      </c>
      <c r="H237" s="58">
        <v>3</v>
      </c>
      <c r="I237" s="59">
        <v>899.99</v>
      </c>
      <c r="J237" s="69" t="s">
        <v>58</v>
      </c>
      <c r="K237" s="69" t="s">
        <v>41</v>
      </c>
      <c r="L237" s="69" t="s">
        <v>28</v>
      </c>
      <c r="M237" s="57">
        <v>44876</v>
      </c>
      <c r="N237" s="64">
        <v>2699.97</v>
      </c>
    </row>
    <row r="238" spans="1:14">
      <c r="A238" s="67" t="s">
        <v>384</v>
      </c>
      <c r="B238" s="57">
        <v>45737</v>
      </c>
      <c r="C238" s="69" t="s">
        <v>49</v>
      </c>
      <c r="D238" s="69" t="s">
        <v>50</v>
      </c>
      <c r="E238" s="69" t="s">
        <v>62</v>
      </c>
      <c r="F238" s="69" t="s">
        <v>63</v>
      </c>
      <c r="G238" s="69" t="s">
        <v>20</v>
      </c>
      <c r="H238" s="58">
        <v>3</v>
      </c>
      <c r="I238" s="59">
        <v>899.99</v>
      </c>
      <c r="J238" s="69" t="s">
        <v>35</v>
      </c>
      <c r="K238" s="69" t="s">
        <v>41</v>
      </c>
      <c r="L238" s="69" t="s">
        <v>23</v>
      </c>
      <c r="M238" s="57">
        <v>44975</v>
      </c>
      <c r="N238" s="64">
        <v>2699.97</v>
      </c>
    </row>
    <row r="239" spans="1:14">
      <c r="A239" s="67" t="s">
        <v>385</v>
      </c>
      <c r="B239" s="57">
        <v>45739</v>
      </c>
      <c r="C239" s="69" t="s">
        <v>16</v>
      </c>
      <c r="D239" s="69" t="s">
        <v>17</v>
      </c>
      <c r="E239" s="69" t="s">
        <v>106</v>
      </c>
      <c r="F239" s="69" t="s">
        <v>107</v>
      </c>
      <c r="G239" s="69" t="s">
        <v>47</v>
      </c>
      <c r="H239" s="58">
        <v>3</v>
      </c>
      <c r="I239" s="59">
        <v>299.99</v>
      </c>
      <c r="J239" s="69" t="s">
        <v>27</v>
      </c>
      <c r="K239" s="69" t="s">
        <v>51</v>
      </c>
      <c r="L239" s="69" t="s">
        <v>28</v>
      </c>
      <c r="M239" s="57">
        <v>45234</v>
      </c>
      <c r="N239" s="64">
        <v>899.97</v>
      </c>
    </row>
    <row r="240" spans="1:14">
      <c r="A240" s="67" t="s">
        <v>386</v>
      </c>
      <c r="B240" s="57">
        <v>45740</v>
      </c>
      <c r="C240" s="69" t="s">
        <v>387</v>
      </c>
      <c r="D240" s="69" t="s">
        <v>388</v>
      </c>
      <c r="E240" s="69" t="s">
        <v>45</v>
      </c>
      <c r="F240" s="69" t="s">
        <v>46</v>
      </c>
      <c r="G240" s="69" t="s">
        <v>47</v>
      </c>
      <c r="H240" s="58">
        <v>4</v>
      </c>
      <c r="I240" s="59">
        <v>149.99</v>
      </c>
      <c r="J240" s="69" t="s">
        <v>35</v>
      </c>
      <c r="K240" s="69" t="s">
        <v>51</v>
      </c>
      <c r="L240" s="69" t="s">
        <v>37</v>
      </c>
      <c r="M240" s="57">
        <v>44560</v>
      </c>
      <c r="N240" s="64">
        <v>599.96</v>
      </c>
    </row>
    <row r="241" spans="1:14">
      <c r="A241" s="67" t="s">
        <v>389</v>
      </c>
      <c r="B241" s="57">
        <v>45743</v>
      </c>
      <c r="C241" s="69" t="s">
        <v>103</v>
      </c>
      <c r="D241" s="69" t="s">
        <v>104</v>
      </c>
      <c r="E241" s="69" t="s">
        <v>115</v>
      </c>
      <c r="F241" s="69" t="s">
        <v>116</v>
      </c>
      <c r="G241" s="69" t="s">
        <v>34</v>
      </c>
      <c r="H241" s="58">
        <v>4</v>
      </c>
      <c r="I241" s="59">
        <v>79.989999999999995</v>
      </c>
      <c r="J241" s="69" t="s">
        <v>27</v>
      </c>
      <c r="K241" s="69" t="s">
        <v>22</v>
      </c>
      <c r="L241" s="69" t="s">
        <v>23</v>
      </c>
      <c r="M241" s="57">
        <v>45288</v>
      </c>
      <c r="N241" s="64">
        <v>319.95999999999998</v>
      </c>
    </row>
    <row r="242" spans="1:14">
      <c r="A242" s="67" t="s">
        <v>390</v>
      </c>
      <c r="B242" s="57">
        <v>45745</v>
      </c>
      <c r="C242" s="69" t="s">
        <v>186</v>
      </c>
      <c r="D242" s="69" t="s">
        <v>187</v>
      </c>
      <c r="E242" s="69" t="s">
        <v>118</v>
      </c>
      <c r="F242" s="69" t="s">
        <v>119</v>
      </c>
      <c r="G242" s="69" t="s">
        <v>20</v>
      </c>
      <c r="H242" s="58">
        <v>5</v>
      </c>
      <c r="I242" s="59">
        <v>89.99</v>
      </c>
      <c r="J242" s="69" t="s">
        <v>35</v>
      </c>
      <c r="K242" s="69" t="s">
        <v>36</v>
      </c>
      <c r="L242" s="69" t="s">
        <v>23</v>
      </c>
      <c r="M242" s="57">
        <v>44704</v>
      </c>
      <c r="N242" s="64">
        <v>449.95</v>
      </c>
    </row>
    <row r="243" spans="1:14">
      <c r="A243" s="67" t="s">
        <v>391</v>
      </c>
      <c r="B243" s="57">
        <v>45746</v>
      </c>
      <c r="C243" s="69" t="s">
        <v>94</v>
      </c>
      <c r="D243" s="69" t="s">
        <v>95</v>
      </c>
      <c r="E243" s="69" t="s">
        <v>45</v>
      </c>
      <c r="F243" s="69" t="s">
        <v>46</v>
      </c>
      <c r="G243" s="69" t="s">
        <v>47</v>
      </c>
      <c r="H243" s="58">
        <v>3</v>
      </c>
      <c r="I243" s="59">
        <v>149.99</v>
      </c>
      <c r="J243" s="69" t="s">
        <v>35</v>
      </c>
      <c r="K243" s="69" t="s">
        <v>22</v>
      </c>
      <c r="L243" s="69" t="s">
        <v>37</v>
      </c>
      <c r="M243" s="57">
        <v>45171</v>
      </c>
      <c r="N243" s="64">
        <v>449.97</v>
      </c>
    </row>
    <row r="244" spans="1:14">
      <c r="A244" s="67" t="s">
        <v>392</v>
      </c>
      <c r="B244" s="57">
        <v>45746</v>
      </c>
      <c r="C244" s="69" t="s">
        <v>66</v>
      </c>
      <c r="D244" s="69" t="s">
        <v>67</v>
      </c>
      <c r="E244" s="69" t="s">
        <v>118</v>
      </c>
      <c r="F244" s="69" t="s">
        <v>119</v>
      </c>
      <c r="G244" s="69" t="s">
        <v>20</v>
      </c>
      <c r="H244" s="58">
        <v>2</v>
      </c>
      <c r="I244" s="59">
        <v>89.99</v>
      </c>
      <c r="J244" s="69" t="s">
        <v>58</v>
      </c>
      <c r="K244" s="69" t="s">
        <v>51</v>
      </c>
      <c r="L244" s="69" t="s">
        <v>28</v>
      </c>
      <c r="M244" s="57">
        <v>44522</v>
      </c>
      <c r="N244" s="64">
        <v>179.98</v>
      </c>
    </row>
    <row r="245" spans="1:14">
      <c r="A245" s="67" t="s">
        <v>393</v>
      </c>
      <c r="B245" s="57">
        <v>45748</v>
      </c>
      <c r="C245" s="69" t="s">
        <v>103</v>
      </c>
      <c r="D245" s="69" t="s">
        <v>104</v>
      </c>
      <c r="E245" s="69" t="s">
        <v>81</v>
      </c>
      <c r="F245" s="69" t="s">
        <v>82</v>
      </c>
      <c r="G245" s="69" t="s">
        <v>20</v>
      </c>
      <c r="H245" s="58">
        <v>2</v>
      </c>
      <c r="I245" s="59">
        <v>699.99</v>
      </c>
      <c r="J245" s="69" t="s">
        <v>35</v>
      </c>
      <c r="K245" s="69" t="s">
        <v>41</v>
      </c>
      <c r="L245" s="69" t="s">
        <v>37</v>
      </c>
      <c r="M245" s="57">
        <v>44618</v>
      </c>
      <c r="N245" s="64">
        <v>1399.98</v>
      </c>
    </row>
    <row r="246" spans="1:14">
      <c r="A246" s="67" t="s">
        <v>394</v>
      </c>
      <c r="B246" s="57">
        <v>45749</v>
      </c>
      <c r="C246" s="69" t="s">
        <v>124</v>
      </c>
      <c r="D246" s="69" t="s">
        <v>125</v>
      </c>
      <c r="E246" s="69" t="s">
        <v>62</v>
      </c>
      <c r="F246" s="69" t="s">
        <v>63</v>
      </c>
      <c r="G246" s="69" t="s">
        <v>20</v>
      </c>
      <c r="H246" s="58">
        <v>3</v>
      </c>
      <c r="I246" s="59">
        <v>899.99</v>
      </c>
      <c r="J246" s="69" t="s">
        <v>21</v>
      </c>
      <c r="K246" s="69" t="s">
        <v>22</v>
      </c>
      <c r="L246" s="69" t="s">
        <v>37</v>
      </c>
      <c r="M246" s="57">
        <v>44953</v>
      </c>
      <c r="N246" s="64">
        <v>2699.97</v>
      </c>
    </row>
    <row r="247" spans="1:14">
      <c r="A247" s="67" t="s">
        <v>395</v>
      </c>
      <c r="B247" s="57">
        <v>45755</v>
      </c>
      <c r="C247" s="69" t="s">
        <v>94</v>
      </c>
      <c r="D247" s="69" t="s">
        <v>95</v>
      </c>
      <c r="E247" s="69" t="s">
        <v>115</v>
      </c>
      <c r="F247" s="69" t="s">
        <v>116</v>
      </c>
      <c r="G247" s="69" t="s">
        <v>34</v>
      </c>
      <c r="H247" s="58">
        <v>3</v>
      </c>
      <c r="I247" s="59">
        <v>79.989999999999995</v>
      </c>
      <c r="J247" s="69" t="s">
        <v>27</v>
      </c>
      <c r="K247" s="69" t="s">
        <v>41</v>
      </c>
      <c r="L247" s="69" t="s">
        <v>23</v>
      </c>
      <c r="M247" s="57">
        <v>44511</v>
      </c>
      <c r="N247" s="64">
        <v>239.97</v>
      </c>
    </row>
    <row r="248" spans="1:14">
      <c r="A248" s="67" t="s">
        <v>396</v>
      </c>
      <c r="B248" s="57">
        <v>45756</v>
      </c>
      <c r="C248" s="69" t="s">
        <v>60</v>
      </c>
      <c r="D248" s="69" t="s">
        <v>61</v>
      </c>
      <c r="E248" s="69" t="s">
        <v>118</v>
      </c>
      <c r="F248" s="69" t="s">
        <v>119</v>
      </c>
      <c r="G248" s="69" t="s">
        <v>20</v>
      </c>
      <c r="H248" s="58">
        <v>1</v>
      </c>
      <c r="I248" s="59">
        <v>89.99</v>
      </c>
      <c r="J248" s="69" t="s">
        <v>58</v>
      </c>
      <c r="K248" s="69" t="s">
        <v>64</v>
      </c>
      <c r="L248" s="69" t="s">
        <v>23</v>
      </c>
      <c r="M248" s="57">
        <v>45346</v>
      </c>
      <c r="N248" s="64">
        <v>89.99</v>
      </c>
    </row>
    <row r="249" spans="1:14">
      <c r="A249" s="67" t="s">
        <v>397</v>
      </c>
      <c r="B249" s="57">
        <v>45758</v>
      </c>
      <c r="C249" s="69" t="s">
        <v>294</v>
      </c>
      <c r="D249" s="69" t="s">
        <v>295</v>
      </c>
      <c r="E249" s="69" t="s">
        <v>81</v>
      </c>
      <c r="F249" s="69" t="s">
        <v>82</v>
      </c>
      <c r="G249" s="69" t="s">
        <v>20</v>
      </c>
      <c r="H249" s="58">
        <v>3</v>
      </c>
      <c r="I249" s="59">
        <v>699.99</v>
      </c>
      <c r="J249" s="69" t="s">
        <v>35</v>
      </c>
      <c r="K249" s="69" t="s">
        <v>41</v>
      </c>
      <c r="L249" s="69" t="s">
        <v>23</v>
      </c>
      <c r="M249" s="57">
        <v>44909</v>
      </c>
      <c r="N249" s="64">
        <v>2099.9699999999998</v>
      </c>
    </row>
    <row r="250" spans="1:14">
      <c r="A250" s="67" t="s">
        <v>398</v>
      </c>
      <c r="B250" s="57">
        <v>45758</v>
      </c>
      <c r="C250" s="69" t="s">
        <v>227</v>
      </c>
      <c r="D250" s="69" t="s">
        <v>228</v>
      </c>
      <c r="E250" s="69" t="s">
        <v>118</v>
      </c>
      <c r="F250" s="69" t="s">
        <v>119</v>
      </c>
      <c r="G250" s="69" t="s">
        <v>20</v>
      </c>
      <c r="H250" s="58">
        <v>2</v>
      </c>
      <c r="I250" s="59">
        <v>89.99</v>
      </c>
      <c r="J250" s="69" t="s">
        <v>58</v>
      </c>
      <c r="K250" s="69" t="s">
        <v>64</v>
      </c>
      <c r="L250" s="69" t="s">
        <v>23</v>
      </c>
      <c r="M250" s="57">
        <v>45088</v>
      </c>
      <c r="N250" s="64">
        <v>179.98</v>
      </c>
    </row>
    <row r="251" spans="1:14">
      <c r="A251" s="68" t="s">
        <v>399</v>
      </c>
      <c r="B251" s="60">
        <v>45758</v>
      </c>
      <c r="C251" s="70" t="s">
        <v>139</v>
      </c>
      <c r="D251" s="70" t="s">
        <v>140</v>
      </c>
      <c r="E251" s="70" t="s">
        <v>118</v>
      </c>
      <c r="F251" s="70" t="s">
        <v>119</v>
      </c>
      <c r="G251" s="70" t="s">
        <v>20</v>
      </c>
      <c r="H251" s="61">
        <v>3</v>
      </c>
      <c r="I251" s="62">
        <v>89.99</v>
      </c>
      <c r="J251" s="70" t="s">
        <v>58</v>
      </c>
      <c r="K251" s="70" t="s">
        <v>41</v>
      </c>
      <c r="L251" s="70" t="s">
        <v>28</v>
      </c>
      <c r="M251" s="60">
        <v>44878</v>
      </c>
      <c r="N251" s="65">
        <v>269.97000000000003</v>
      </c>
    </row>
  </sheetData>
  <conditionalFormatting sqref="A2:N251">
    <cfRule type="expression" dxfId="8" priority="49">
      <formula>$N2&gt;2000</formula>
    </cfRule>
    <cfRule type="expression" dxfId="7" priority="50">
      <formula>$G2="Electronics"</formula>
    </cfRule>
  </conditionalFormatting>
  <conditionalFormatting sqref="H1:H1048576">
    <cfRule type="iconSet" priority="69">
      <iconSet iconSet="3Symbols2">
        <cfvo type="percent" val="0"/>
        <cfvo type="num" val="2"/>
        <cfvo type="num" val="4"/>
      </iconSet>
    </cfRule>
  </conditionalFormatting>
  <conditionalFormatting sqref="L1:L1048576">
    <cfRule type="cellIs" dxfId="6" priority="66" operator="equal">
      <formula>"Basic"</formula>
    </cfRule>
    <cfRule type="cellIs" dxfId="5" priority="67" operator="equal">
      <formula>"Standard"</formula>
    </cfRule>
    <cfRule type="cellIs" dxfId="4" priority="68" operator="equal">
      <formula>"Premium"</formula>
    </cfRule>
  </conditionalFormatting>
  <conditionalFormatting sqref="N1:N1048576">
    <cfRule type="top10" dxfId="3" priority="2" rank="10"/>
    <cfRule type="colorScale" priority="61">
      <colorScale>
        <cfvo type="num" val="&quot;&lt;500&quot;"/>
        <cfvo type="num" val="&quot;&gt;=500&quot;"/>
        <cfvo type="num" val="&quot;&gt;=2000&quot;"/>
        <color rgb="FFF8696B"/>
        <color rgb="FFFFEB84"/>
        <color rgb="FF63BE7B"/>
      </colorScale>
    </cfRule>
  </conditionalFormatting>
  <conditionalFormatting sqref="N2:N251">
    <cfRule type="top10" dxfId="2" priority="47" rank="10"/>
    <cfRule type="top10" dxfId="1" priority="48" rank="10"/>
    <cfRule type="colorScale" priority="62">
      <colorScale>
        <cfvo type="min"/>
        <cfvo type="percentile" val="50"/>
        <cfvo type="max"/>
        <color rgb="FFF8696B"/>
        <color rgb="FFFFEB84"/>
        <color rgb="FF63BE7B"/>
      </colorScale>
    </cfRule>
    <cfRule type="iconSet" priority="71">
      <iconSet iconSet="3Arrows">
        <cfvo type="percent" val="0"/>
        <cfvo type="num" val="500"/>
        <cfvo type="num" val="2000"/>
      </iconSet>
    </cfRule>
  </conditionalFormatting>
  <conditionalFormatting sqref="N20">
    <cfRule type="top10" dxfId="0" priority="1" rank="10"/>
  </conditionalFormatting>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64938-52E4-479E-A2C0-D2EAFC8299FF}">
  <dimension ref="A1:G11"/>
  <sheetViews>
    <sheetView view="pageBreakPreview" topLeftCell="C1" zoomScale="60" zoomScaleNormal="91" workbookViewId="0">
      <selection activeCell="G2" sqref="G2"/>
    </sheetView>
  </sheetViews>
  <sheetFormatPr defaultRowHeight="14.4"/>
  <cols>
    <col min="1" max="1" width="23" customWidth="1"/>
    <col min="2" max="2" width="19.109375" customWidth="1"/>
    <col min="3" max="3" width="18" customWidth="1"/>
    <col min="4" max="4" width="17.33203125" customWidth="1"/>
    <col min="5" max="5" width="23" customWidth="1"/>
    <col min="6" max="6" width="24.6640625" customWidth="1"/>
    <col min="7" max="7" width="21.6640625" customWidth="1"/>
  </cols>
  <sheetData>
    <row r="1" spans="1:7" ht="15.6">
      <c r="A1" s="84" t="s">
        <v>1</v>
      </c>
      <c r="B1" s="84" t="s">
        <v>4</v>
      </c>
      <c r="C1" s="118" t="s">
        <v>6</v>
      </c>
      <c r="D1" s="118" t="s">
        <v>14</v>
      </c>
      <c r="E1" s="118" t="s">
        <v>474</v>
      </c>
      <c r="F1" s="118" t="s">
        <v>475</v>
      </c>
      <c r="G1" s="118" t="s">
        <v>476</v>
      </c>
    </row>
    <row r="2" spans="1:7">
      <c r="A2" s="74" t="str">
        <f>'Final Project Dataset'!A2</f>
        <v>TRX0155</v>
      </c>
      <c r="B2" t="str">
        <f>'Final Project Dataset'!D2</f>
        <v>Paul Baker</v>
      </c>
      <c r="C2" s="119" t="str">
        <f>'Final Project Dataset'!F2</f>
        <v>Monitor</v>
      </c>
      <c r="D2" s="119">
        <f>'Final Project Dataset'!N2</f>
        <v>749.97</v>
      </c>
      <c r="E2" s="120">
        <f ca="1">NOW()</f>
        <v>46171.710443634256</v>
      </c>
      <c r="F2" s="120">
        <f ca="1">NOW()</f>
        <v>46171.710443634256</v>
      </c>
      <c r="G2" s="119">
        <f ca="1">INT(TODAY()-'Final Project Dataset'!B2)</f>
        <v>778</v>
      </c>
    </row>
    <row r="3" spans="1:7">
      <c r="A3" s="74" t="str">
        <f>'Final Project Dataset'!A3</f>
        <v>TRX0023</v>
      </c>
      <c r="B3" t="str">
        <f>'Final Project Dataset'!D3</f>
        <v>Joseph Jackson</v>
      </c>
      <c r="C3" s="119" t="str">
        <f>'Final Project Dataset'!F3</f>
        <v>Monitor</v>
      </c>
      <c r="D3" s="119">
        <f>'Final Project Dataset'!N3</f>
        <v>749.97</v>
      </c>
      <c r="E3" s="120">
        <f t="shared" ref="E3:F11" ca="1" si="0">NOW()</f>
        <v>46171.710443634256</v>
      </c>
      <c r="F3" s="120">
        <f t="shared" ca="1" si="0"/>
        <v>46171.710443634256</v>
      </c>
      <c r="G3" s="119">
        <f ca="1">INT(TODAY()-'Final Project Dataset'!B3)</f>
        <v>775</v>
      </c>
    </row>
    <row r="4" spans="1:7">
      <c r="A4" s="74" t="str">
        <f>'Final Project Dataset'!A4</f>
        <v>TRX0139</v>
      </c>
      <c r="B4" t="str">
        <f>'Final Project Dataset'!D4</f>
        <v>Kevin Scott</v>
      </c>
      <c r="C4" s="119" t="str">
        <f>'Final Project Dataset'!F4</f>
        <v>Blender</v>
      </c>
      <c r="D4" s="119">
        <f>'Final Project Dataset'!N4</f>
        <v>179.97</v>
      </c>
      <c r="E4" s="120">
        <f t="shared" ca="1" si="0"/>
        <v>46171.710443634256</v>
      </c>
      <c r="F4" s="120">
        <f t="shared" ca="1" si="0"/>
        <v>46171.710443634256</v>
      </c>
      <c r="G4" s="119">
        <f ca="1">INT(TODAY()-'Final Project Dataset'!B4)</f>
        <v>772</v>
      </c>
    </row>
    <row r="5" spans="1:7">
      <c r="A5" s="74" t="str">
        <f>'Final Project Dataset'!A5</f>
        <v>TRX0043</v>
      </c>
      <c r="B5" t="str">
        <f>'Final Project Dataset'!D5</f>
        <v>Kathleen Bennett</v>
      </c>
      <c r="C5" s="119" t="str">
        <f>'Final Project Dataset'!F5</f>
        <v>Blender</v>
      </c>
      <c r="D5" s="119">
        <f>'Final Project Dataset'!N5</f>
        <v>179.97</v>
      </c>
      <c r="E5" s="120">
        <f t="shared" ca="1" si="0"/>
        <v>46171.710443634256</v>
      </c>
      <c r="F5" s="120">
        <f t="shared" ca="1" si="0"/>
        <v>46171.710443634256</v>
      </c>
      <c r="G5" s="119">
        <f ca="1">INT(TODAY()-'Final Project Dataset'!B5)</f>
        <v>771</v>
      </c>
    </row>
    <row r="6" spans="1:7">
      <c r="A6" s="74" t="str">
        <f>'Final Project Dataset'!A6</f>
        <v>TRX0212</v>
      </c>
      <c r="B6" t="str">
        <f>'Final Project Dataset'!D6</f>
        <v>Michael Brown</v>
      </c>
      <c r="C6" s="119" t="str">
        <f>'Final Project Dataset'!F6</f>
        <v>Bookshelf</v>
      </c>
      <c r="D6" s="119">
        <f>'Final Project Dataset'!N6</f>
        <v>749.95</v>
      </c>
      <c r="E6" s="120">
        <f t="shared" ca="1" si="0"/>
        <v>46171.710443634256</v>
      </c>
      <c r="F6" s="120">
        <f t="shared" ca="1" si="0"/>
        <v>46171.710443634256</v>
      </c>
      <c r="G6" s="119">
        <f ca="1">INT(TODAY()-'Final Project Dataset'!B6)</f>
        <v>771</v>
      </c>
    </row>
    <row r="7" spans="1:7">
      <c r="A7" s="74" t="str">
        <f>'Final Project Dataset'!A7</f>
        <v>TRX0092</v>
      </c>
      <c r="B7" t="str">
        <f>'Final Project Dataset'!D7</f>
        <v>Dorothy Nelson</v>
      </c>
      <c r="C7" s="119" t="str">
        <f>'Final Project Dataset'!F7</f>
        <v>Blender</v>
      </c>
      <c r="D7" s="119">
        <f>'Final Project Dataset'!N7</f>
        <v>119.98</v>
      </c>
      <c r="E7" s="120">
        <f t="shared" ca="1" si="0"/>
        <v>46171.710443634256</v>
      </c>
      <c r="F7" s="120">
        <f t="shared" ca="1" si="0"/>
        <v>46171.710443634256</v>
      </c>
      <c r="G7" s="119">
        <f ca="1">INT(TODAY()-'Final Project Dataset'!B7)</f>
        <v>768</v>
      </c>
    </row>
    <row r="8" spans="1:7">
      <c r="A8" s="74" t="str">
        <f>'Final Project Dataset'!A8</f>
        <v>TRX0193</v>
      </c>
      <c r="B8" t="str">
        <f>'Final Project Dataset'!D8</f>
        <v>Dorothy Nelson</v>
      </c>
      <c r="C8" s="119" t="str">
        <f>'Final Project Dataset'!F8</f>
        <v>Headphones</v>
      </c>
      <c r="D8" s="119">
        <f>'Final Project Dataset'!N8</f>
        <v>749.95</v>
      </c>
      <c r="E8" s="120">
        <f t="shared" ca="1" si="0"/>
        <v>46171.710443634256</v>
      </c>
      <c r="F8" s="120">
        <f t="shared" ca="1" si="0"/>
        <v>46171.710443634256</v>
      </c>
      <c r="G8" s="119">
        <f ca="1">INT(TODAY()-'Final Project Dataset'!B8)</f>
        <v>768</v>
      </c>
    </row>
    <row r="9" spans="1:7">
      <c r="A9" s="74" t="str">
        <f>'Final Project Dataset'!A9</f>
        <v>TRX0240</v>
      </c>
      <c r="B9" t="str">
        <f>'Final Project Dataset'!D9</f>
        <v>Charles Allen</v>
      </c>
      <c r="C9" s="119" t="str">
        <f>'Final Project Dataset'!F9</f>
        <v>Blender</v>
      </c>
      <c r="D9" s="119">
        <f>'Final Project Dataset'!N9</f>
        <v>179.97</v>
      </c>
      <c r="E9" s="120">
        <f t="shared" ca="1" si="0"/>
        <v>46171.710443634256</v>
      </c>
      <c r="F9" s="120">
        <f t="shared" ca="1" si="0"/>
        <v>46171.710443634256</v>
      </c>
      <c r="G9" s="119">
        <f ca="1">INT(TODAY()-'Final Project Dataset'!B9)</f>
        <v>768</v>
      </c>
    </row>
    <row r="10" spans="1:7">
      <c r="A10" s="74" t="str">
        <f>'Final Project Dataset'!A10</f>
        <v>TRX0135</v>
      </c>
      <c r="B10" t="str">
        <f>'Final Project Dataset'!D10</f>
        <v>Robert Thomas</v>
      </c>
      <c r="C10" s="119" t="str">
        <f>'Final Project Dataset'!F10</f>
        <v>Laptop</v>
      </c>
      <c r="D10" s="119">
        <f>'Final Project Dataset'!N10</f>
        <v>2699.97</v>
      </c>
      <c r="E10" s="120">
        <f t="shared" ca="1" si="0"/>
        <v>46171.710443634256</v>
      </c>
      <c r="F10" s="120">
        <f t="shared" ca="1" si="0"/>
        <v>46171.710443634256</v>
      </c>
      <c r="G10" s="119">
        <f ca="1">INT(TODAY()-'Final Project Dataset'!B10)</f>
        <v>766</v>
      </c>
    </row>
    <row r="11" spans="1:7">
      <c r="A11" s="74" t="str">
        <f>'Final Project Dataset'!A11</f>
        <v>TRX0185</v>
      </c>
      <c r="B11" t="str">
        <f>'Final Project Dataset'!D11</f>
        <v>Karen Hill</v>
      </c>
      <c r="C11" s="119" t="str">
        <f>'Final Project Dataset'!F11</f>
        <v>Blender</v>
      </c>
      <c r="D11" s="119">
        <f>'Final Project Dataset'!N11</f>
        <v>179.97</v>
      </c>
      <c r="E11" s="120">
        <f t="shared" ca="1" si="0"/>
        <v>46171.710443634256</v>
      </c>
      <c r="F11" s="120">
        <f t="shared" ca="1" si="0"/>
        <v>46171.710443634256</v>
      </c>
      <c r="G11" s="119">
        <f ca="1">INT(TODAY()-'Final Project Dataset'!B11)</f>
        <v>763</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FA721-16DA-4F76-A656-635A01620101}">
  <dimension ref="A1:B19"/>
  <sheetViews>
    <sheetView view="pageBreakPreview" zoomScale="60" zoomScaleNormal="100" workbookViewId="0">
      <selection sqref="A1:B1"/>
    </sheetView>
  </sheetViews>
  <sheetFormatPr defaultRowHeight="14.4"/>
  <cols>
    <col min="1" max="1" width="31" bestFit="1" customWidth="1"/>
    <col min="2" max="2" width="18.6640625" customWidth="1"/>
  </cols>
  <sheetData>
    <row r="1" spans="1:2" ht="15.6">
      <c r="A1" s="127" t="s">
        <v>477</v>
      </c>
      <c r="B1" s="127"/>
    </row>
    <row r="2" spans="1:2" ht="15" thickBot="1"/>
    <row r="3" spans="1:2">
      <c r="A3" s="96" t="s">
        <v>9</v>
      </c>
      <c r="B3" s="97">
        <f>AVERAGE('Final Project Dataset'!I2:I251)</f>
        <v>296.67000000000007</v>
      </c>
    </row>
    <row r="4" spans="1:2">
      <c r="A4" s="98" t="s">
        <v>8</v>
      </c>
      <c r="B4" s="99">
        <f>AVERAGE('Final Project Dataset'!H2:H251)</f>
        <v>3.012</v>
      </c>
    </row>
    <row r="5" spans="1:2">
      <c r="A5" s="98" t="s">
        <v>478</v>
      </c>
      <c r="B5" s="100">
        <v>10</v>
      </c>
    </row>
    <row r="6" spans="1:2">
      <c r="A6" s="98" t="s">
        <v>479</v>
      </c>
      <c r="B6" s="100">
        <v>18</v>
      </c>
    </row>
    <row r="7" spans="1:2" ht="15" thickBot="1">
      <c r="A7" s="101" t="s">
        <v>480</v>
      </c>
      <c r="B7" s="102">
        <f>B3*B4*(1-B5/100)*(1+B6/100)</f>
        <v>948.97138248000022</v>
      </c>
    </row>
    <row r="10" spans="1:2" ht="15.6">
      <c r="A10" s="127" t="s">
        <v>495</v>
      </c>
      <c r="B10" s="127"/>
    </row>
    <row r="11" spans="1:2" ht="15" thickBot="1"/>
    <row r="12" spans="1:2">
      <c r="A12" s="116" t="s">
        <v>9</v>
      </c>
      <c r="B12" s="115">
        <f>B14/B13</f>
        <v>400</v>
      </c>
    </row>
    <row r="13" spans="1:2">
      <c r="A13" s="98" t="s">
        <v>8</v>
      </c>
      <c r="B13" s="99">
        <v>5</v>
      </c>
    </row>
    <row r="14" spans="1:2">
      <c r="A14" s="98" t="s">
        <v>496</v>
      </c>
      <c r="B14" s="100">
        <v>2000</v>
      </c>
    </row>
    <row r="15" spans="1:2" ht="15" thickBot="1">
      <c r="A15" s="117" t="s">
        <v>668</v>
      </c>
      <c r="B15" s="102">
        <f>B12*B13</f>
        <v>2000</v>
      </c>
    </row>
    <row r="19" spans="1:1">
      <c r="A19">
        <v>5</v>
      </c>
    </row>
  </sheetData>
  <scenarios current="0" sqref="B7">
    <scenario name="Best Case" locked="1" count="2" user="Mukesh Kote" comment="Created by Mukesh Kote on 26-05-2026">
      <inputCells r="B5" val="5"/>
      <inputCells r="B6" val="18"/>
    </scenario>
    <scenario name="Worst Case" locked="1" count="2" user="Mukesh Kote" comment="Created by Mukesh Kote on 26-05-2026">
      <inputCells r="B5" val="30"/>
      <inputCells r="B6" val="28"/>
    </scenario>
    <scenario name="Base Case" locked="1" count="2" user="Mukesh Kote" comment="Created by Mukesh Kote on 26-05-2026">
      <inputCells r="B5" val="10"/>
      <inputCells r="B6" val="18"/>
    </scenario>
  </scenarios>
  <mergeCells count="2">
    <mergeCell ref="A10:B10"/>
    <mergeCell ref="A1:B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855FC-3632-4667-8125-D404FE3FF255}">
  <sheetPr>
    <outlinePr summaryBelow="0"/>
  </sheetPr>
  <dimension ref="B1:G12"/>
  <sheetViews>
    <sheetView view="pageBreakPreview" zoomScale="60" zoomScaleNormal="84" workbookViewId="0"/>
  </sheetViews>
  <sheetFormatPr defaultRowHeight="14.4" outlineLevelRow="1" outlineLevelCol="1"/>
  <cols>
    <col min="3" max="3" width="5.109375" bestFit="1" customWidth="1"/>
    <col min="4" max="7" width="13.109375" bestFit="1" customWidth="1" outlineLevel="1"/>
  </cols>
  <sheetData>
    <row r="1" spans="2:7" ht="15" thickBot="1"/>
    <row r="2" spans="2:7" ht="15.6">
      <c r="B2" s="87" t="s">
        <v>488</v>
      </c>
      <c r="C2" s="87"/>
      <c r="D2" s="92"/>
      <c r="E2" s="92"/>
      <c r="F2" s="92"/>
      <c r="G2" s="92"/>
    </row>
    <row r="3" spans="2:7" ht="15.6" collapsed="1">
      <c r="B3" s="86"/>
      <c r="C3" s="86"/>
      <c r="D3" s="93" t="s">
        <v>490</v>
      </c>
      <c r="E3" s="93" t="s">
        <v>484</v>
      </c>
      <c r="F3" s="93" t="s">
        <v>486</v>
      </c>
      <c r="G3" s="93" t="s">
        <v>487</v>
      </c>
    </row>
    <row r="4" spans="2:7" ht="20.399999999999999" hidden="1" outlineLevel="1">
      <c r="B4" s="89"/>
      <c r="C4" s="89"/>
      <c r="E4" s="95" t="s">
        <v>485</v>
      </c>
      <c r="F4" s="95" t="s">
        <v>485</v>
      </c>
      <c r="G4" s="95" t="s">
        <v>485</v>
      </c>
    </row>
    <row r="5" spans="2:7">
      <c r="B5" s="90" t="s">
        <v>489</v>
      </c>
      <c r="C5" s="90"/>
      <c r="D5" s="88"/>
      <c r="E5" s="88"/>
      <c r="F5" s="88"/>
      <c r="G5" s="88"/>
    </row>
    <row r="6" spans="2:7" outlineLevel="1">
      <c r="B6" s="89"/>
      <c r="C6" s="89" t="s">
        <v>481</v>
      </c>
      <c r="D6">
        <v>10</v>
      </c>
      <c r="E6" s="94">
        <v>5</v>
      </c>
      <c r="F6" s="94">
        <v>30</v>
      </c>
      <c r="G6" s="94">
        <v>10</v>
      </c>
    </row>
    <row r="7" spans="2:7" outlineLevel="1">
      <c r="B7" s="89"/>
      <c r="C7" s="89" t="s">
        <v>482</v>
      </c>
      <c r="D7">
        <v>18</v>
      </c>
      <c r="E7" s="94">
        <v>18</v>
      </c>
      <c r="F7" s="94">
        <v>28</v>
      </c>
      <c r="G7" s="94">
        <v>18</v>
      </c>
    </row>
    <row r="8" spans="2:7">
      <c r="B8" s="90" t="s">
        <v>491</v>
      </c>
      <c r="C8" s="90"/>
      <c r="D8" s="88"/>
      <c r="E8" s="88"/>
      <c r="F8" s="88"/>
      <c r="G8" s="88"/>
    </row>
    <row r="9" spans="2:7" ht="15" outlineLevel="1" thickBot="1">
      <c r="B9" s="91"/>
      <c r="C9" s="91" t="s">
        <v>483</v>
      </c>
      <c r="D9" s="85">
        <v>948.97138247999999</v>
      </c>
      <c r="E9" s="85">
        <v>1001.69201484</v>
      </c>
      <c r="F9" s="85">
        <v>800.63875584000004</v>
      </c>
      <c r="G9" s="85">
        <v>948.97138247999999</v>
      </c>
    </row>
    <row r="10" spans="2:7">
      <c r="B10" t="s">
        <v>492</v>
      </c>
    </row>
    <row r="11" spans="2:7">
      <c r="B11" t="s">
        <v>493</v>
      </c>
    </row>
    <row r="12" spans="2:7">
      <c r="B12" t="s">
        <v>494</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3DAC0-DD07-4226-9926-AFE6CAF076BA}">
  <dimension ref="A1:I273"/>
  <sheetViews>
    <sheetView view="pageBreakPreview" zoomScale="60" zoomScaleNormal="72" workbookViewId="0"/>
  </sheetViews>
  <sheetFormatPr defaultRowHeight="14.4"/>
  <cols>
    <col min="1" max="1" width="20.77734375" style="104" customWidth="1"/>
    <col min="2" max="2" width="22" style="104" customWidth="1"/>
    <col min="3" max="3" width="18.6640625" style="104" customWidth="1"/>
    <col min="4" max="4" width="20.33203125" style="104" customWidth="1"/>
    <col min="5" max="5" width="14.44140625" style="104" customWidth="1"/>
    <col min="6" max="6" width="21.6640625" style="104" customWidth="1"/>
    <col min="7" max="7" width="15.109375" style="104" customWidth="1"/>
    <col min="8" max="8" width="16.33203125" style="104" customWidth="1"/>
    <col min="9" max="9" width="20.33203125" style="104" customWidth="1"/>
    <col min="10" max="16384" width="8.88671875" style="104"/>
  </cols>
  <sheetData>
    <row r="1" spans="1:9">
      <c r="A1" s="104" t="s">
        <v>497</v>
      </c>
    </row>
    <row r="2" spans="1:9" ht="15" thickBot="1"/>
    <row r="3" spans="1:9">
      <c r="A3" s="103" t="s">
        <v>498</v>
      </c>
      <c r="B3" s="103"/>
    </row>
    <row r="4" spans="1:9">
      <c r="A4" s="104" t="s">
        <v>499</v>
      </c>
      <c r="B4" s="104">
        <v>0.45809869406349091</v>
      </c>
    </row>
    <row r="5" spans="1:9">
      <c r="A5" s="104" t="s">
        <v>500</v>
      </c>
      <c r="B5" s="104">
        <v>0.20985441350267586</v>
      </c>
    </row>
    <row r="6" spans="1:9">
      <c r="A6" s="104" t="s">
        <v>501</v>
      </c>
      <c r="B6" s="104">
        <v>0.20665544351685675</v>
      </c>
    </row>
    <row r="7" spans="1:9">
      <c r="A7" s="104" t="s">
        <v>502</v>
      </c>
      <c r="B7" s="104">
        <v>921.40854264214693</v>
      </c>
    </row>
    <row r="8" spans="1:9" ht="15" thickBot="1">
      <c r="A8" s="105" t="s">
        <v>503</v>
      </c>
      <c r="B8" s="105">
        <v>249</v>
      </c>
    </row>
    <row r="10" spans="1:9" ht="15" thickBot="1">
      <c r="A10" s="104" t="s">
        <v>504</v>
      </c>
    </row>
    <row r="11" spans="1:9">
      <c r="A11" s="103"/>
      <c r="B11" s="103" t="s">
        <v>509</v>
      </c>
      <c r="C11" s="103" t="s">
        <v>510</v>
      </c>
      <c r="D11" s="103" t="s">
        <v>511</v>
      </c>
      <c r="E11" s="103" t="s">
        <v>512</v>
      </c>
      <c r="F11" s="103" t="s">
        <v>513</v>
      </c>
    </row>
    <row r="12" spans="1:9">
      <c r="A12" s="104" t="s">
        <v>505</v>
      </c>
      <c r="B12" s="104">
        <v>1</v>
      </c>
      <c r="C12" s="104">
        <v>55694513.010666132</v>
      </c>
      <c r="D12" s="104">
        <v>55694513.010666132</v>
      </c>
      <c r="E12" s="104">
        <v>65.600619709765951</v>
      </c>
      <c r="F12" s="104">
        <v>2.5391277291094679E-14</v>
      </c>
    </row>
    <row r="13" spans="1:9">
      <c r="A13" s="104" t="s">
        <v>506</v>
      </c>
      <c r="B13" s="104">
        <v>247</v>
      </c>
      <c r="C13" s="104">
        <v>209701444.50611952</v>
      </c>
      <c r="D13" s="104">
        <v>848993.70245392516</v>
      </c>
    </row>
    <row r="14" spans="1:9" ht="15" thickBot="1">
      <c r="A14" s="105" t="s">
        <v>507</v>
      </c>
      <c r="B14" s="105">
        <v>248</v>
      </c>
      <c r="C14" s="105">
        <v>265395957.51678565</v>
      </c>
      <c r="D14" s="105"/>
      <c r="E14" s="105"/>
      <c r="F14" s="105"/>
    </row>
    <row r="15" spans="1:9" ht="15" thickBot="1"/>
    <row r="16" spans="1:9">
      <c r="A16" s="103"/>
      <c r="B16" s="103" t="s">
        <v>514</v>
      </c>
      <c r="C16" s="103" t="s">
        <v>502</v>
      </c>
      <c r="D16" s="103" t="s">
        <v>515</v>
      </c>
      <c r="E16" s="103" t="s">
        <v>516</v>
      </c>
      <c r="F16" s="103" t="s">
        <v>517</v>
      </c>
      <c r="G16" s="103" t="s">
        <v>518</v>
      </c>
      <c r="H16" s="103" t="s">
        <v>519</v>
      </c>
      <c r="I16" s="103" t="s">
        <v>520</v>
      </c>
    </row>
    <row r="17" spans="1:9">
      <c r="A17" s="104" t="s">
        <v>508</v>
      </c>
      <c r="B17" s="104">
        <v>-148.18856276399686</v>
      </c>
      <c r="C17" s="104">
        <v>143.94399015159905</v>
      </c>
      <c r="D17" s="104">
        <v>-1.029487668140417</v>
      </c>
      <c r="E17" s="104">
        <v>0.30425761488766012</v>
      </c>
      <c r="F17" s="104">
        <v>-431.70276968654099</v>
      </c>
      <c r="G17" s="104">
        <v>135.32564415854728</v>
      </c>
      <c r="H17" s="104">
        <v>-431.70276968654099</v>
      </c>
      <c r="I17" s="104">
        <v>135.32564415854728</v>
      </c>
    </row>
    <row r="18" spans="1:9" ht="15" thickBot="1">
      <c r="A18" s="105">
        <v>3</v>
      </c>
      <c r="B18" s="105">
        <v>353.78860283764737</v>
      </c>
      <c r="C18" s="105">
        <v>43.680727926547888</v>
      </c>
      <c r="D18" s="105">
        <v>8.099420949041118</v>
      </c>
      <c r="E18" s="105">
        <v>2.5391277291093214E-14</v>
      </c>
      <c r="F18" s="105">
        <v>267.75439659637294</v>
      </c>
      <c r="G18" s="105">
        <v>439.82280907892181</v>
      </c>
      <c r="H18" s="105">
        <v>267.75439659637294</v>
      </c>
      <c r="I18" s="105">
        <v>439.82280907892181</v>
      </c>
    </row>
    <row r="22" spans="1:9">
      <c r="A22" s="104" t="s">
        <v>521</v>
      </c>
    </row>
    <row r="23" spans="1:9" ht="15" thickBot="1"/>
    <row r="24" spans="1:9">
      <c r="A24" s="103" t="s">
        <v>522</v>
      </c>
      <c r="B24" s="103" t="s">
        <v>523</v>
      </c>
      <c r="C24" s="103" t="s">
        <v>524</v>
      </c>
      <c r="D24" s="103" t="s">
        <v>525</v>
      </c>
    </row>
    <row r="25" spans="1:9">
      <c r="A25" s="104">
        <v>1</v>
      </c>
      <c r="B25" s="104">
        <v>913.17724574894521</v>
      </c>
      <c r="C25" s="104">
        <v>-163.20724574894518</v>
      </c>
      <c r="D25" s="104">
        <v>-0.17748618935465454</v>
      </c>
    </row>
    <row r="26" spans="1:9">
      <c r="A26" s="104">
        <v>2</v>
      </c>
      <c r="B26" s="104">
        <v>913.17724574894521</v>
      </c>
      <c r="C26" s="104">
        <v>-733.20724574894518</v>
      </c>
      <c r="D26" s="104">
        <v>-0.79735528565552727</v>
      </c>
    </row>
    <row r="27" spans="1:9">
      <c r="A27" s="104">
        <v>3</v>
      </c>
      <c r="B27" s="104">
        <v>913.17724574894521</v>
      </c>
      <c r="C27" s="104">
        <v>-733.20724574894518</v>
      </c>
      <c r="D27" s="104">
        <v>-0.79735528565552727</v>
      </c>
    </row>
    <row r="28" spans="1:9">
      <c r="A28" s="104">
        <v>4</v>
      </c>
      <c r="B28" s="104">
        <v>1620.75445142424</v>
      </c>
      <c r="C28" s="104">
        <v>-870.80445142423991</v>
      </c>
      <c r="D28" s="104">
        <v>-0.94699082168266802</v>
      </c>
    </row>
    <row r="29" spans="1:9">
      <c r="A29" s="104">
        <v>5</v>
      </c>
      <c r="B29" s="104">
        <v>559.38864291129789</v>
      </c>
      <c r="C29" s="104">
        <v>-439.40864291129787</v>
      </c>
      <c r="D29" s="104">
        <v>-0.47785234804950716</v>
      </c>
    </row>
    <row r="30" spans="1:9">
      <c r="A30" s="104">
        <v>6</v>
      </c>
      <c r="B30" s="104">
        <v>1620.75445142424</v>
      </c>
      <c r="C30" s="104">
        <v>-870.80445142423991</v>
      </c>
      <c r="D30" s="104">
        <v>-0.94699082168266802</v>
      </c>
    </row>
    <row r="31" spans="1:9">
      <c r="A31" s="104">
        <v>7</v>
      </c>
      <c r="B31" s="104">
        <v>913.17724574894521</v>
      </c>
      <c r="C31" s="104">
        <v>-733.20724574894518</v>
      </c>
      <c r="D31" s="104">
        <v>-0.79735528565552727</v>
      </c>
    </row>
    <row r="32" spans="1:9">
      <c r="A32" s="104">
        <v>8</v>
      </c>
      <c r="B32" s="104">
        <v>913.17724574894521</v>
      </c>
      <c r="C32" s="104">
        <v>1786.7927542510547</v>
      </c>
      <c r="D32" s="104">
        <v>1.9431186137799097</v>
      </c>
    </row>
    <row r="33" spans="1:4">
      <c r="A33" s="104">
        <v>9</v>
      </c>
      <c r="B33" s="104">
        <v>913.17724574894521</v>
      </c>
      <c r="C33" s="104">
        <v>-733.20724574894518</v>
      </c>
      <c r="D33" s="104">
        <v>-0.79735528565552727</v>
      </c>
    </row>
    <row r="34" spans="1:4">
      <c r="A34" s="104">
        <v>10</v>
      </c>
      <c r="B34" s="104">
        <v>205.60004007365052</v>
      </c>
      <c r="C34" s="104">
        <v>-55.610040073650509</v>
      </c>
      <c r="D34" s="104">
        <v>-6.0475342606507117E-2</v>
      </c>
    </row>
    <row r="35" spans="1:4">
      <c r="A35" s="104">
        <v>11</v>
      </c>
      <c r="B35" s="104">
        <v>1620.75445142424</v>
      </c>
      <c r="C35" s="104">
        <v>-870.80445142423991</v>
      </c>
      <c r="D35" s="104">
        <v>-0.94699082168266802</v>
      </c>
    </row>
    <row r="36" spans="1:4">
      <c r="A36" s="104">
        <v>12</v>
      </c>
      <c r="B36" s="104">
        <v>913.17724574894521</v>
      </c>
      <c r="C36" s="104">
        <v>-463.20724574894518</v>
      </c>
      <c r="D36" s="104">
        <v>-0.50373308214458756</v>
      </c>
    </row>
    <row r="37" spans="1:4">
      <c r="A37" s="104">
        <v>13</v>
      </c>
      <c r="B37" s="104">
        <v>913.17724574894521</v>
      </c>
      <c r="C37" s="104">
        <v>-733.20724574894518</v>
      </c>
      <c r="D37" s="104">
        <v>-0.79735528565552727</v>
      </c>
    </row>
    <row r="38" spans="1:4">
      <c r="A38" s="104">
        <v>14</v>
      </c>
      <c r="B38" s="104">
        <v>913.17724574894521</v>
      </c>
      <c r="C38" s="104">
        <v>1186.7927542510547</v>
      </c>
      <c r="D38" s="104">
        <v>1.2906248282000439</v>
      </c>
    </row>
    <row r="39" spans="1:4">
      <c r="A39" s="104">
        <v>15</v>
      </c>
      <c r="B39" s="104">
        <v>205.60004007365052</v>
      </c>
      <c r="C39" s="104">
        <v>694.38995992634955</v>
      </c>
      <c r="D39" s="104">
        <v>0.75514188936832538</v>
      </c>
    </row>
    <row r="40" spans="1:4">
      <c r="A40" s="104">
        <v>16</v>
      </c>
      <c r="B40" s="104">
        <v>1266.9658485865925</v>
      </c>
      <c r="C40" s="104">
        <v>-667.00584858659249</v>
      </c>
      <c r="D40" s="104">
        <v>-0.72536195191362773</v>
      </c>
    </row>
    <row r="41" spans="1:4">
      <c r="A41" s="104">
        <v>17</v>
      </c>
      <c r="B41" s="104">
        <v>559.38864291129789</v>
      </c>
      <c r="C41" s="104">
        <v>840.59135708870213</v>
      </c>
      <c r="D41" s="104">
        <v>0.91413439452087364</v>
      </c>
    </row>
    <row r="42" spans="1:4">
      <c r="A42" s="104">
        <v>18</v>
      </c>
      <c r="B42" s="104">
        <v>1266.9658485865925</v>
      </c>
      <c r="C42" s="104">
        <v>2332.9941514134075</v>
      </c>
      <c r="D42" s="104">
        <v>2.5371069759857021</v>
      </c>
    </row>
    <row r="43" spans="1:4">
      <c r="A43" s="104">
        <v>19</v>
      </c>
      <c r="B43" s="104">
        <v>913.17724574894521</v>
      </c>
      <c r="C43" s="104">
        <v>-163.20724574894518</v>
      </c>
      <c r="D43" s="104">
        <v>-0.17748618935465454</v>
      </c>
    </row>
    <row r="44" spans="1:4">
      <c r="A44" s="104">
        <v>20</v>
      </c>
      <c r="B44" s="104">
        <v>1620.75445142424</v>
      </c>
      <c r="C44" s="104">
        <v>1879.1955485757599</v>
      </c>
      <c r="D44" s="104">
        <v>2.0436056955583841</v>
      </c>
    </row>
    <row r="45" spans="1:4">
      <c r="A45" s="104">
        <v>21</v>
      </c>
      <c r="B45" s="104">
        <v>1266.9658485865925</v>
      </c>
      <c r="C45" s="104">
        <v>1532.9941514134075</v>
      </c>
      <c r="D45" s="104">
        <v>1.6671152618792142</v>
      </c>
    </row>
    <row r="46" spans="1:4">
      <c r="A46" s="104">
        <v>22</v>
      </c>
      <c r="B46" s="104">
        <v>1266.9658485865925</v>
      </c>
      <c r="C46" s="104">
        <v>-267.00584858659249</v>
      </c>
      <c r="D46" s="104">
        <v>-0.29036609486038373</v>
      </c>
    </row>
    <row r="47" spans="1:4">
      <c r="A47" s="104">
        <v>23</v>
      </c>
      <c r="B47" s="104">
        <v>1266.9658485865925</v>
      </c>
      <c r="C47" s="104">
        <v>-67.005848586592492</v>
      </c>
      <c r="D47" s="104">
        <v>-7.2868166333761752E-2</v>
      </c>
    </row>
    <row r="48" spans="1:4">
      <c r="A48" s="104">
        <v>24</v>
      </c>
      <c r="B48" s="104">
        <v>1620.75445142424</v>
      </c>
      <c r="C48" s="104">
        <v>-370.80445142423991</v>
      </c>
      <c r="D48" s="104">
        <v>-0.40324600036611308</v>
      </c>
    </row>
    <row r="49" spans="1:4">
      <c r="A49" s="104">
        <v>25</v>
      </c>
      <c r="B49" s="104">
        <v>1620.75445142424</v>
      </c>
      <c r="C49" s="104">
        <v>-120.80445142423991</v>
      </c>
      <c r="D49" s="104">
        <v>-0.13137358970783555</v>
      </c>
    </row>
    <row r="50" spans="1:4">
      <c r="A50" s="104">
        <v>26</v>
      </c>
      <c r="B50" s="104">
        <v>913.17724574894521</v>
      </c>
      <c r="C50" s="104">
        <v>-673.20724574894518</v>
      </c>
      <c r="D50" s="104">
        <v>-0.73210590709754064</v>
      </c>
    </row>
    <row r="51" spans="1:4">
      <c r="A51" s="104">
        <v>27</v>
      </c>
      <c r="B51" s="104">
        <v>1620.75445142424</v>
      </c>
      <c r="C51" s="104">
        <v>-1170.8044514242399</v>
      </c>
      <c r="D51" s="104">
        <v>-1.273237714472601</v>
      </c>
    </row>
    <row r="52" spans="1:4">
      <c r="A52" s="104">
        <v>28</v>
      </c>
      <c r="B52" s="104">
        <v>559.38864291129789</v>
      </c>
      <c r="C52" s="104">
        <v>-439.40864291129787</v>
      </c>
      <c r="D52" s="104">
        <v>-0.47785234804950716</v>
      </c>
    </row>
    <row r="53" spans="1:4">
      <c r="A53" s="104">
        <v>29</v>
      </c>
      <c r="B53" s="104">
        <v>1266.9658485865925</v>
      </c>
      <c r="C53" s="104">
        <v>-1027.0058485865925</v>
      </c>
      <c r="D53" s="104">
        <v>-1.1168582232615474</v>
      </c>
    </row>
    <row r="54" spans="1:4">
      <c r="A54" s="104">
        <v>30</v>
      </c>
      <c r="B54" s="104">
        <v>1620.75445142424</v>
      </c>
      <c r="C54" s="104">
        <v>-620.80445142423991</v>
      </c>
      <c r="D54" s="104">
        <v>-0.67511841102439052</v>
      </c>
    </row>
    <row r="55" spans="1:4">
      <c r="A55" s="104">
        <v>31</v>
      </c>
      <c r="B55" s="104">
        <v>559.38864291129789</v>
      </c>
      <c r="C55" s="104">
        <v>-259.40864291129787</v>
      </c>
      <c r="D55" s="104">
        <v>-0.28210421237554739</v>
      </c>
    </row>
    <row r="56" spans="1:4">
      <c r="A56" s="104">
        <v>32</v>
      </c>
      <c r="B56" s="104">
        <v>913.17724574894521</v>
      </c>
      <c r="C56" s="104">
        <v>-463.20724574894518</v>
      </c>
      <c r="D56" s="104">
        <v>-0.50373308214458756</v>
      </c>
    </row>
    <row r="57" spans="1:4">
      <c r="A57" s="104">
        <v>33</v>
      </c>
      <c r="B57" s="104">
        <v>205.60004007365052</v>
      </c>
      <c r="C57" s="104">
        <v>694.38995992634955</v>
      </c>
      <c r="D57" s="104">
        <v>0.75514188936832538</v>
      </c>
    </row>
    <row r="58" spans="1:4">
      <c r="A58" s="104">
        <v>34</v>
      </c>
      <c r="B58" s="104">
        <v>913.17724574894521</v>
      </c>
      <c r="C58" s="104">
        <v>-13.207245748945184</v>
      </c>
      <c r="D58" s="104">
        <v>-1.4362742959688059E-2</v>
      </c>
    </row>
    <row r="59" spans="1:4">
      <c r="A59" s="104">
        <v>35</v>
      </c>
      <c r="B59" s="104">
        <v>913.17724574894521</v>
      </c>
      <c r="C59" s="104">
        <v>-673.20724574894518</v>
      </c>
      <c r="D59" s="104">
        <v>-0.73210590709754064</v>
      </c>
    </row>
    <row r="60" spans="1:4">
      <c r="A60" s="104">
        <v>36</v>
      </c>
      <c r="B60" s="104">
        <v>913.17724574894521</v>
      </c>
      <c r="C60" s="104">
        <v>-313.20724574894518</v>
      </c>
      <c r="D60" s="104">
        <v>-0.34060963574962105</v>
      </c>
    </row>
    <row r="61" spans="1:4">
      <c r="A61" s="104">
        <v>37</v>
      </c>
      <c r="B61" s="104">
        <v>1620.75445142424</v>
      </c>
      <c r="C61" s="104">
        <v>1879.1955485757599</v>
      </c>
      <c r="D61" s="104">
        <v>2.0436056955583841</v>
      </c>
    </row>
    <row r="62" spans="1:4">
      <c r="A62" s="104">
        <v>38</v>
      </c>
      <c r="B62" s="104">
        <v>913.17724574894521</v>
      </c>
      <c r="C62" s="104">
        <v>-643.20724574894518</v>
      </c>
      <c r="D62" s="104">
        <v>-0.69948121781854733</v>
      </c>
    </row>
    <row r="63" spans="1:4">
      <c r="A63" s="104">
        <v>39</v>
      </c>
      <c r="B63" s="104">
        <v>205.60004007365052</v>
      </c>
      <c r="C63" s="104">
        <v>-125.61004007365052</v>
      </c>
      <c r="D63" s="104">
        <v>-0.13659961759082484</v>
      </c>
    </row>
    <row r="64" spans="1:4">
      <c r="A64" s="104">
        <v>40</v>
      </c>
      <c r="B64" s="104">
        <v>559.38864291129789</v>
      </c>
      <c r="C64" s="104">
        <v>-439.40864291129787</v>
      </c>
      <c r="D64" s="104">
        <v>-0.47785234804950716</v>
      </c>
    </row>
    <row r="65" spans="1:4">
      <c r="A65" s="104">
        <v>41</v>
      </c>
      <c r="B65" s="104">
        <v>205.60004007365052</v>
      </c>
      <c r="C65" s="104">
        <v>-115.61004007365052</v>
      </c>
      <c r="D65" s="104">
        <v>-0.12572472116449374</v>
      </c>
    </row>
    <row r="66" spans="1:4">
      <c r="A66" s="104">
        <v>42</v>
      </c>
      <c r="B66" s="104">
        <v>1620.75445142424</v>
      </c>
      <c r="C66" s="104">
        <v>-1170.8044514242399</v>
      </c>
      <c r="D66" s="104">
        <v>-1.273237714472601</v>
      </c>
    </row>
    <row r="67" spans="1:4">
      <c r="A67" s="104">
        <v>43</v>
      </c>
      <c r="B67" s="104">
        <v>1620.75445142424</v>
      </c>
      <c r="C67" s="104">
        <v>-370.80445142423991</v>
      </c>
      <c r="D67" s="104">
        <v>-0.40324600036611308</v>
      </c>
    </row>
    <row r="68" spans="1:4">
      <c r="A68" s="104">
        <v>44</v>
      </c>
      <c r="B68" s="104">
        <v>205.60004007365052</v>
      </c>
      <c r="C68" s="104">
        <v>-115.61004007365052</v>
      </c>
      <c r="D68" s="104">
        <v>-0.12572472116449374</v>
      </c>
    </row>
    <row r="69" spans="1:4">
      <c r="A69" s="104">
        <v>45</v>
      </c>
      <c r="B69" s="104">
        <v>559.38864291129789</v>
      </c>
      <c r="C69" s="104">
        <v>-259.40864291129787</v>
      </c>
      <c r="D69" s="104">
        <v>-0.28210421237554739</v>
      </c>
    </row>
    <row r="70" spans="1:4">
      <c r="A70" s="104">
        <v>46</v>
      </c>
      <c r="B70" s="104">
        <v>1266.9658485865925</v>
      </c>
      <c r="C70" s="104">
        <v>-1027.0058485865925</v>
      </c>
      <c r="D70" s="104">
        <v>-1.1168582232615474</v>
      </c>
    </row>
    <row r="71" spans="1:4">
      <c r="A71" s="104">
        <v>47</v>
      </c>
      <c r="B71" s="104">
        <v>1620.75445142424</v>
      </c>
      <c r="C71" s="104">
        <v>-1170.8044514242399</v>
      </c>
      <c r="D71" s="104">
        <v>-1.273237714472601</v>
      </c>
    </row>
    <row r="72" spans="1:4">
      <c r="A72" s="104">
        <v>48</v>
      </c>
      <c r="B72" s="104">
        <v>559.38864291129789</v>
      </c>
      <c r="C72" s="104">
        <v>-379.40864291129787</v>
      </c>
      <c r="D72" s="104">
        <v>-0.41260296949152059</v>
      </c>
    </row>
    <row r="73" spans="1:4">
      <c r="A73" s="104">
        <v>49</v>
      </c>
      <c r="B73" s="104">
        <v>1620.75445142424</v>
      </c>
      <c r="C73" s="104">
        <v>2879.1955485757599</v>
      </c>
      <c r="D73" s="104">
        <v>3.1310953381914941</v>
      </c>
    </row>
    <row r="74" spans="1:4">
      <c r="A74" s="104">
        <v>50</v>
      </c>
      <c r="B74" s="104">
        <v>1620.75445142424</v>
      </c>
      <c r="C74" s="104">
        <v>2879.1955485757599</v>
      </c>
      <c r="D74" s="104">
        <v>3.1310953381914941</v>
      </c>
    </row>
    <row r="75" spans="1:4">
      <c r="A75" s="104">
        <v>51</v>
      </c>
      <c r="B75" s="104">
        <v>205.60004007365052</v>
      </c>
      <c r="C75" s="104">
        <v>-145.61004007365051</v>
      </c>
      <c r="D75" s="104">
        <v>-0.15834941044348702</v>
      </c>
    </row>
    <row r="76" spans="1:4">
      <c r="A76" s="104">
        <v>52</v>
      </c>
      <c r="B76" s="104">
        <v>559.38864291129789</v>
      </c>
      <c r="C76" s="104">
        <v>40.591357088702125</v>
      </c>
      <c r="D76" s="104">
        <v>4.4142680414385627E-2</v>
      </c>
    </row>
    <row r="77" spans="1:4">
      <c r="A77" s="104">
        <v>53</v>
      </c>
      <c r="B77" s="104">
        <v>1266.9658485865925</v>
      </c>
      <c r="C77" s="104">
        <v>-907.00584858659249</v>
      </c>
      <c r="D77" s="104">
        <v>-0.98635946614557413</v>
      </c>
    </row>
    <row r="78" spans="1:4">
      <c r="A78" s="104">
        <v>54</v>
      </c>
      <c r="B78" s="104">
        <v>205.60004007365052</v>
      </c>
      <c r="C78" s="104">
        <v>-125.61004007365052</v>
      </c>
      <c r="D78" s="104">
        <v>-0.13659961759082484</v>
      </c>
    </row>
    <row r="79" spans="1:4">
      <c r="A79" s="104">
        <v>55</v>
      </c>
      <c r="B79" s="104">
        <v>559.38864291129789</v>
      </c>
      <c r="C79" s="104">
        <v>-379.40864291129787</v>
      </c>
      <c r="D79" s="104">
        <v>-0.41260296949152059</v>
      </c>
    </row>
    <row r="80" spans="1:4">
      <c r="A80" s="104">
        <v>56</v>
      </c>
      <c r="B80" s="104">
        <v>913.17724574894521</v>
      </c>
      <c r="C80" s="104">
        <v>1186.7927542510547</v>
      </c>
      <c r="D80" s="104">
        <v>1.2906248282000439</v>
      </c>
    </row>
    <row r="81" spans="1:4">
      <c r="A81" s="104">
        <v>57</v>
      </c>
      <c r="B81" s="104">
        <v>1266.9658485865925</v>
      </c>
      <c r="C81" s="104">
        <v>2332.9941514134075</v>
      </c>
      <c r="D81" s="104">
        <v>2.5371069759857021</v>
      </c>
    </row>
    <row r="82" spans="1:4">
      <c r="A82" s="104">
        <v>58</v>
      </c>
      <c r="B82" s="104">
        <v>205.60004007365052</v>
      </c>
      <c r="C82" s="104">
        <v>-55.610040073650509</v>
      </c>
      <c r="D82" s="104">
        <v>-6.0475342606507117E-2</v>
      </c>
    </row>
    <row r="83" spans="1:4">
      <c r="A83" s="104">
        <v>59</v>
      </c>
      <c r="B83" s="104">
        <v>559.38864291129789</v>
      </c>
      <c r="C83" s="104">
        <v>-379.40864291129787</v>
      </c>
      <c r="D83" s="104">
        <v>-0.41260296949152059</v>
      </c>
    </row>
    <row r="84" spans="1:4">
      <c r="A84" s="104">
        <v>60</v>
      </c>
      <c r="B84" s="104">
        <v>205.60004007365052</v>
      </c>
      <c r="C84" s="104">
        <v>-115.61004007365052</v>
      </c>
      <c r="D84" s="104">
        <v>-0.12572472116449374</v>
      </c>
    </row>
    <row r="85" spans="1:4">
      <c r="A85" s="104">
        <v>61</v>
      </c>
      <c r="B85" s="104">
        <v>205.60004007365052</v>
      </c>
      <c r="C85" s="104">
        <v>-115.61004007365052</v>
      </c>
      <c r="D85" s="104">
        <v>-0.12572472116449374</v>
      </c>
    </row>
    <row r="86" spans="1:4">
      <c r="A86" s="104">
        <v>62</v>
      </c>
      <c r="B86" s="104">
        <v>1620.75445142424</v>
      </c>
      <c r="C86" s="104">
        <v>-1220.8044514242399</v>
      </c>
      <c r="D86" s="104">
        <v>-1.3276121966042564</v>
      </c>
    </row>
    <row r="87" spans="1:4">
      <c r="A87" s="104">
        <v>63</v>
      </c>
      <c r="B87" s="104">
        <v>205.60004007365052</v>
      </c>
      <c r="C87" s="104">
        <v>-55.610040073650509</v>
      </c>
      <c r="D87" s="104">
        <v>-6.0475342606507117E-2</v>
      </c>
    </row>
    <row r="88" spans="1:4">
      <c r="A88" s="104">
        <v>64</v>
      </c>
      <c r="B88" s="104">
        <v>559.38864291129789</v>
      </c>
      <c r="C88" s="104">
        <v>840.59135708870213</v>
      </c>
      <c r="D88" s="104">
        <v>0.91413439452087364</v>
      </c>
    </row>
    <row r="89" spans="1:4">
      <c r="A89" s="104">
        <v>65</v>
      </c>
      <c r="B89" s="104">
        <v>1620.75445142424</v>
      </c>
      <c r="C89" s="104">
        <v>-1170.8044514242399</v>
      </c>
      <c r="D89" s="104">
        <v>-1.273237714472601</v>
      </c>
    </row>
    <row r="90" spans="1:4">
      <c r="A90" s="104">
        <v>66</v>
      </c>
      <c r="B90" s="104">
        <v>1266.9658485865925</v>
      </c>
      <c r="C90" s="104">
        <v>-1027.0058485865925</v>
      </c>
      <c r="D90" s="104">
        <v>-1.1168582232615474</v>
      </c>
    </row>
    <row r="91" spans="1:4">
      <c r="A91" s="104">
        <v>67</v>
      </c>
      <c r="B91" s="104">
        <v>205.60004007365052</v>
      </c>
      <c r="C91" s="104">
        <v>-55.610040073650509</v>
      </c>
      <c r="D91" s="104">
        <v>-6.0475342606507117E-2</v>
      </c>
    </row>
    <row r="92" spans="1:4">
      <c r="A92" s="104">
        <v>68</v>
      </c>
      <c r="B92" s="104">
        <v>205.60004007365052</v>
      </c>
      <c r="C92" s="104">
        <v>94.389959926349491</v>
      </c>
      <c r="D92" s="104">
        <v>0.10264810378845939</v>
      </c>
    </row>
    <row r="93" spans="1:4">
      <c r="A93" s="104">
        <v>69</v>
      </c>
      <c r="B93" s="104">
        <v>559.38864291129789</v>
      </c>
      <c r="C93" s="104">
        <v>-159.40864291129787</v>
      </c>
      <c r="D93" s="104">
        <v>-0.17335524811223638</v>
      </c>
    </row>
    <row r="94" spans="1:4">
      <c r="A94" s="104">
        <v>70</v>
      </c>
      <c r="B94" s="104">
        <v>913.17724574894521</v>
      </c>
      <c r="C94" s="104">
        <v>-733.20724574894518</v>
      </c>
      <c r="D94" s="104">
        <v>-0.79735528565552727</v>
      </c>
    </row>
    <row r="95" spans="1:4">
      <c r="A95" s="104">
        <v>71</v>
      </c>
      <c r="B95" s="104">
        <v>913.17724574894521</v>
      </c>
      <c r="C95" s="104">
        <v>-463.20724574894518</v>
      </c>
      <c r="D95" s="104">
        <v>-0.50373308214458756</v>
      </c>
    </row>
    <row r="96" spans="1:4">
      <c r="A96" s="104">
        <v>72</v>
      </c>
      <c r="B96" s="104">
        <v>913.17724574894521</v>
      </c>
      <c r="C96" s="104">
        <v>-313.20724574894518</v>
      </c>
      <c r="D96" s="104">
        <v>-0.34060963574962105</v>
      </c>
    </row>
    <row r="97" spans="1:4">
      <c r="A97" s="104">
        <v>73</v>
      </c>
      <c r="B97" s="104">
        <v>205.60004007365052</v>
      </c>
      <c r="C97" s="104">
        <v>694.38995992634955</v>
      </c>
      <c r="D97" s="104">
        <v>0.75514188936832538</v>
      </c>
    </row>
    <row r="98" spans="1:4">
      <c r="A98" s="104">
        <v>74</v>
      </c>
      <c r="B98" s="104">
        <v>1620.75445142424</v>
      </c>
      <c r="C98" s="104">
        <v>2879.1955485757599</v>
      </c>
      <c r="D98" s="104">
        <v>3.1310953381914941</v>
      </c>
    </row>
    <row r="99" spans="1:4">
      <c r="A99" s="104">
        <v>75</v>
      </c>
      <c r="B99" s="104">
        <v>559.38864291129789</v>
      </c>
      <c r="C99" s="104">
        <v>-439.40864291129787</v>
      </c>
      <c r="D99" s="104">
        <v>-0.47785234804950716</v>
      </c>
    </row>
    <row r="100" spans="1:4">
      <c r="A100" s="104">
        <v>76</v>
      </c>
      <c r="B100" s="104">
        <v>1266.9658485865925</v>
      </c>
      <c r="C100" s="104">
        <v>-267.00584858659249</v>
      </c>
      <c r="D100" s="104">
        <v>-0.29036609486038373</v>
      </c>
    </row>
    <row r="101" spans="1:4">
      <c r="A101" s="104">
        <v>77</v>
      </c>
      <c r="B101" s="104">
        <v>559.38864291129789</v>
      </c>
      <c r="C101" s="104">
        <v>-59.408642911297875</v>
      </c>
      <c r="D101" s="104">
        <v>-6.4606283848925375E-2</v>
      </c>
    </row>
    <row r="102" spans="1:4">
      <c r="A102" s="104">
        <v>78</v>
      </c>
      <c r="B102" s="104">
        <v>205.60004007365052</v>
      </c>
      <c r="C102" s="104">
        <v>94.389959926349491</v>
      </c>
      <c r="D102" s="104">
        <v>0.10264810378845939</v>
      </c>
    </row>
    <row r="103" spans="1:4">
      <c r="A103" s="104">
        <v>79</v>
      </c>
      <c r="B103" s="104">
        <v>559.38864291129789</v>
      </c>
      <c r="C103" s="104">
        <v>-379.40864291129787</v>
      </c>
      <c r="D103" s="104">
        <v>-0.41260296949152059</v>
      </c>
    </row>
    <row r="104" spans="1:4">
      <c r="A104" s="104">
        <v>80</v>
      </c>
      <c r="B104" s="104">
        <v>913.17724574894521</v>
      </c>
      <c r="C104" s="104">
        <v>-13.207245748945184</v>
      </c>
      <c r="D104" s="104">
        <v>-1.4362742959688059E-2</v>
      </c>
    </row>
    <row r="105" spans="1:4">
      <c r="A105" s="104">
        <v>81</v>
      </c>
      <c r="B105" s="104">
        <v>559.38864291129789</v>
      </c>
      <c r="C105" s="104">
        <v>840.59135708870213</v>
      </c>
      <c r="D105" s="104">
        <v>0.91413439452087364</v>
      </c>
    </row>
    <row r="106" spans="1:4">
      <c r="A106" s="104">
        <v>82</v>
      </c>
      <c r="B106" s="104">
        <v>1266.9658485865925</v>
      </c>
      <c r="C106" s="104">
        <v>2332.9941514134075</v>
      </c>
      <c r="D106" s="104">
        <v>2.5371069759857021</v>
      </c>
    </row>
    <row r="107" spans="1:4">
      <c r="A107" s="104">
        <v>83</v>
      </c>
      <c r="B107" s="104">
        <v>559.38864291129789</v>
      </c>
      <c r="C107" s="104">
        <v>-259.40864291129787</v>
      </c>
      <c r="D107" s="104">
        <v>-0.28210421237554739</v>
      </c>
    </row>
    <row r="108" spans="1:4">
      <c r="A108" s="104">
        <v>84</v>
      </c>
      <c r="B108" s="104">
        <v>559.38864291129789</v>
      </c>
      <c r="C108" s="104">
        <v>-259.40864291129787</v>
      </c>
      <c r="D108" s="104">
        <v>-0.28210421237554739</v>
      </c>
    </row>
    <row r="109" spans="1:4">
      <c r="A109" s="104">
        <v>85</v>
      </c>
      <c r="B109" s="104">
        <v>205.60004007365052</v>
      </c>
      <c r="C109" s="104">
        <v>-115.61004007365052</v>
      </c>
      <c r="D109" s="104">
        <v>-0.12572472116449374</v>
      </c>
    </row>
    <row r="110" spans="1:4">
      <c r="A110" s="104">
        <v>86</v>
      </c>
      <c r="B110" s="104">
        <v>1620.75445142424</v>
      </c>
      <c r="C110" s="104">
        <v>-120.80445142423991</v>
      </c>
      <c r="D110" s="104">
        <v>-0.13137358970783555</v>
      </c>
    </row>
    <row r="111" spans="1:4">
      <c r="A111" s="104">
        <v>87</v>
      </c>
      <c r="B111" s="104">
        <v>1266.9658485865925</v>
      </c>
      <c r="C111" s="104">
        <v>-667.00584858659249</v>
      </c>
      <c r="D111" s="104">
        <v>-0.72536195191362773</v>
      </c>
    </row>
    <row r="112" spans="1:4">
      <c r="A112" s="104">
        <v>88</v>
      </c>
      <c r="B112" s="104">
        <v>1620.75445142424</v>
      </c>
      <c r="C112" s="104">
        <v>-370.80445142423991</v>
      </c>
      <c r="D112" s="104">
        <v>-0.40324600036611308</v>
      </c>
    </row>
    <row r="113" spans="1:4">
      <c r="A113" s="104">
        <v>89</v>
      </c>
      <c r="B113" s="104">
        <v>913.17724574894521</v>
      </c>
      <c r="C113" s="104">
        <v>-163.20724574894518</v>
      </c>
      <c r="D113" s="104">
        <v>-0.17748618935465454</v>
      </c>
    </row>
    <row r="114" spans="1:4">
      <c r="A114" s="104">
        <v>90</v>
      </c>
      <c r="B114" s="104">
        <v>1266.9658485865925</v>
      </c>
      <c r="C114" s="104">
        <v>-467.00584858659249</v>
      </c>
      <c r="D114" s="104">
        <v>-0.50786402338700576</v>
      </c>
    </row>
    <row r="115" spans="1:4">
      <c r="A115" s="104">
        <v>91</v>
      </c>
      <c r="B115" s="104">
        <v>1620.75445142424</v>
      </c>
      <c r="C115" s="104">
        <v>-620.80445142423991</v>
      </c>
      <c r="D115" s="104">
        <v>-0.67511841102439052</v>
      </c>
    </row>
    <row r="116" spans="1:4">
      <c r="A116" s="104">
        <v>92</v>
      </c>
      <c r="B116" s="104">
        <v>559.38864291129789</v>
      </c>
      <c r="C116" s="104">
        <v>-379.40864291129787</v>
      </c>
      <c r="D116" s="104">
        <v>-0.41260296949152059</v>
      </c>
    </row>
    <row r="117" spans="1:4">
      <c r="A117" s="104">
        <v>93</v>
      </c>
      <c r="B117" s="104">
        <v>1620.75445142424</v>
      </c>
      <c r="C117" s="104">
        <v>2879.1955485757599</v>
      </c>
      <c r="D117" s="104">
        <v>3.1310953381914941</v>
      </c>
    </row>
    <row r="118" spans="1:4">
      <c r="A118" s="104">
        <v>94</v>
      </c>
      <c r="B118" s="104">
        <v>913.17724574894521</v>
      </c>
      <c r="C118" s="104">
        <v>-463.20724574894518</v>
      </c>
      <c r="D118" s="104">
        <v>-0.50373308214458756</v>
      </c>
    </row>
    <row r="119" spans="1:4">
      <c r="A119" s="104">
        <v>95</v>
      </c>
      <c r="B119" s="104">
        <v>1620.75445142424</v>
      </c>
      <c r="C119" s="104">
        <v>-870.80445142423991</v>
      </c>
      <c r="D119" s="104">
        <v>-0.94699082168266802</v>
      </c>
    </row>
    <row r="120" spans="1:4">
      <c r="A120" s="104">
        <v>96</v>
      </c>
      <c r="B120" s="104">
        <v>913.17724574894521</v>
      </c>
      <c r="C120" s="104">
        <v>-673.20724574894518</v>
      </c>
      <c r="D120" s="104">
        <v>-0.73210590709754064</v>
      </c>
    </row>
    <row r="121" spans="1:4">
      <c r="A121" s="104">
        <v>97</v>
      </c>
      <c r="B121" s="104">
        <v>559.38864291129789</v>
      </c>
      <c r="C121" s="104">
        <v>-59.408642911297875</v>
      </c>
      <c r="D121" s="104">
        <v>-6.4606283848925375E-2</v>
      </c>
    </row>
    <row r="122" spans="1:4">
      <c r="A122" s="104">
        <v>98</v>
      </c>
      <c r="B122" s="104">
        <v>205.60004007365052</v>
      </c>
      <c r="C122" s="104">
        <v>494.38995992634949</v>
      </c>
      <c r="D122" s="104">
        <v>0.53764396084170341</v>
      </c>
    </row>
    <row r="123" spans="1:4">
      <c r="A123" s="104">
        <v>99</v>
      </c>
      <c r="B123" s="104">
        <v>913.17724574894521</v>
      </c>
      <c r="C123" s="104">
        <v>-463.20724574894518</v>
      </c>
      <c r="D123" s="104">
        <v>-0.50373308214458756</v>
      </c>
    </row>
    <row r="124" spans="1:4">
      <c r="A124" s="104">
        <v>100</v>
      </c>
      <c r="B124" s="104">
        <v>559.38864291129789</v>
      </c>
      <c r="C124" s="104">
        <v>840.59135708870213</v>
      </c>
      <c r="D124" s="104">
        <v>0.91413439452087364</v>
      </c>
    </row>
    <row r="125" spans="1:4">
      <c r="A125" s="104">
        <v>101</v>
      </c>
      <c r="B125" s="104">
        <v>205.60004007365052</v>
      </c>
      <c r="C125" s="104">
        <v>44.389959926349491</v>
      </c>
      <c r="D125" s="104">
        <v>4.8273621656803878E-2</v>
      </c>
    </row>
    <row r="126" spans="1:4">
      <c r="A126" s="104">
        <v>102</v>
      </c>
      <c r="B126" s="104">
        <v>205.60004007365052</v>
      </c>
      <c r="C126" s="104">
        <v>44.389959926349491</v>
      </c>
      <c r="D126" s="104">
        <v>4.8273621656803878E-2</v>
      </c>
    </row>
    <row r="127" spans="1:4">
      <c r="A127" s="104">
        <v>103</v>
      </c>
      <c r="B127" s="104">
        <v>559.38864291129789</v>
      </c>
      <c r="C127" s="104">
        <v>840.59135708870213</v>
      </c>
      <c r="D127" s="104">
        <v>0.91413439452087364</v>
      </c>
    </row>
    <row r="128" spans="1:4">
      <c r="A128" s="104">
        <v>104</v>
      </c>
      <c r="B128" s="104">
        <v>913.17724574894521</v>
      </c>
      <c r="C128" s="104">
        <v>-733.20724574894518</v>
      </c>
      <c r="D128" s="104">
        <v>-0.79735528565552727</v>
      </c>
    </row>
    <row r="129" spans="1:4">
      <c r="A129" s="104">
        <v>105</v>
      </c>
      <c r="B129" s="104">
        <v>913.17724574894521</v>
      </c>
      <c r="C129" s="104">
        <v>-733.20724574894518</v>
      </c>
      <c r="D129" s="104">
        <v>-0.79735528565552727</v>
      </c>
    </row>
    <row r="130" spans="1:4">
      <c r="A130" s="104">
        <v>106</v>
      </c>
      <c r="B130" s="104">
        <v>1266.9658485865925</v>
      </c>
      <c r="C130" s="104">
        <v>-947.00584858659249</v>
      </c>
      <c r="D130" s="104">
        <v>-1.0298590518508985</v>
      </c>
    </row>
    <row r="131" spans="1:4">
      <c r="A131" s="104">
        <v>107</v>
      </c>
      <c r="B131" s="104">
        <v>205.60004007365052</v>
      </c>
      <c r="C131" s="104">
        <v>-125.61004007365052</v>
      </c>
      <c r="D131" s="104">
        <v>-0.13659961759082484</v>
      </c>
    </row>
    <row r="132" spans="1:4">
      <c r="A132" s="104">
        <v>108</v>
      </c>
      <c r="B132" s="104">
        <v>913.17724574894521</v>
      </c>
      <c r="C132" s="104">
        <v>-13.207245748945184</v>
      </c>
      <c r="D132" s="104">
        <v>-1.4362742959688059E-2</v>
      </c>
    </row>
    <row r="133" spans="1:4">
      <c r="A133" s="104">
        <v>109</v>
      </c>
      <c r="B133" s="104">
        <v>559.38864291129789</v>
      </c>
      <c r="C133" s="104">
        <v>-379.40864291129787</v>
      </c>
      <c r="D133" s="104">
        <v>-0.41260296949152059</v>
      </c>
    </row>
    <row r="134" spans="1:4">
      <c r="A134" s="104">
        <v>110</v>
      </c>
      <c r="B134" s="104">
        <v>1266.9658485865925</v>
      </c>
      <c r="C134" s="104">
        <v>-667.00584858659249</v>
      </c>
      <c r="D134" s="104">
        <v>-0.72536195191362773</v>
      </c>
    </row>
    <row r="135" spans="1:4">
      <c r="A135" s="104">
        <v>111</v>
      </c>
      <c r="B135" s="104">
        <v>559.38864291129789</v>
      </c>
      <c r="C135" s="104">
        <v>-59.408642911297875</v>
      </c>
      <c r="D135" s="104">
        <v>-6.4606283848925375E-2</v>
      </c>
    </row>
    <row r="136" spans="1:4">
      <c r="A136" s="104">
        <v>112</v>
      </c>
      <c r="B136" s="104">
        <v>1266.9658485865925</v>
      </c>
      <c r="C136" s="104">
        <v>-467.00584858659249</v>
      </c>
      <c r="D136" s="104">
        <v>-0.50786402338700576</v>
      </c>
    </row>
    <row r="137" spans="1:4">
      <c r="A137" s="104">
        <v>113</v>
      </c>
      <c r="B137" s="104">
        <v>1620.75445142424</v>
      </c>
      <c r="C137" s="104">
        <v>-1170.8044514242399</v>
      </c>
      <c r="D137" s="104">
        <v>-1.273237714472601</v>
      </c>
    </row>
    <row r="138" spans="1:4">
      <c r="A138" s="104">
        <v>114</v>
      </c>
      <c r="B138" s="104">
        <v>205.60004007365052</v>
      </c>
      <c r="C138" s="104">
        <v>-55.610040073650509</v>
      </c>
      <c r="D138" s="104">
        <v>-6.0475342606507117E-2</v>
      </c>
    </row>
    <row r="139" spans="1:4">
      <c r="A139" s="104">
        <v>115</v>
      </c>
      <c r="B139" s="104">
        <v>1266.9658485865925</v>
      </c>
      <c r="C139" s="104">
        <v>1532.9941514134075</v>
      </c>
      <c r="D139" s="104">
        <v>1.6671152618792142</v>
      </c>
    </row>
    <row r="140" spans="1:4">
      <c r="A140" s="104">
        <v>116</v>
      </c>
      <c r="B140" s="104">
        <v>913.17724574894521</v>
      </c>
      <c r="C140" s="104">
        <v>1786.7927542510547</v>
      </c>
      <c r="D140" s="104">
        <v>1.9431186137799097</v>
      </c>
    </row>
    <row r="141" spans="1:4">
      <c r="A141" s="104">
        <v>117</v>
      </c>
      <c r="B141" s="104">
        <v>913.17724574894521</v>
      </c>
      <c r="C141" s="104">
        <v>-463.20724574894518</v>
      </c>
      <c r="D141" s="104">
        <v>-0.50373308214458756</v>
      </c>
    </row>
    <row r="142" spans="1:4">
      <c r="A142" s="104">
        <v>118</v>
      </c>
      <c r="B142" s="104">
        <v>559.38864291129789</v>
      </c>
      <c r="C142" s="104">
        <v>40.591357088702125</v>
      </c>
      <c r="D142" s="104">
        <v>4.4142680414385627E-2</v>
      </c>
    </row>
    <row r="143" spans="1:4">
      <c r="A143" s="104">
        <v>119</v>
      </c>
      <c r="B143" s="104">
        <v>205.60004007365052</v>
      </c>
      <c r="C143" s="104">
        <v>-5.6100400736505094</v>
      </c>
      <c r="D143" s="104">
        <v>-6.1008604748516186E-3</v>
      </c>
    </row>
    <row r="144" spans="1:4">
      <c r="A144" s="104">
        <v>120</v>
      </c>
      <c r="B144" s="104">
        <v>1266.9658485865925</v>
      </c>
      <c r="C144" s="104">
        <v>-67.005848586592492</v>
      </c>
      <c r="D144" s="104">
        <v>-7.2868166333761752E-2</v>
      </c>
    </row>
    <row r="145" spans="1:4">
      <c r="A145" s="104">
        <v>121</v>
      </c>
      <c r="B145" s="104">
        <v>559.38864291129789</v>
      </c>
      <c r="C145" s="104">
        <v>-439.40864291129787</v>
      </c>
      <c r="D145" s="104">
        <v>-0.47785234804950716</v>
      </c>
    </row>
    <row r="146" spans="1:4">
      <c r="A146" s="104">
        <v>122</v>
      </c>
      <c r="B146" s="104">
        <v>1266.9658485865925</v>
      </c>
      <c r="C146" s="104">
        <v>-667.00584858659249</v>
      </c>
      <c r="D146" s="104">
        <v>-0.72536195191362773</v>
      </c>
    </row>
    <row r="147" spans="1:4">
      <c r="A147" s="104">
        <v>123</v>
      </c>
      <c r="B147" s="104">
        <v>559.38864291129789</v>
      </c>
      <c r="C147" s="104">
        <v>840.59135708870213</v>
      </c>
      <c r="D147" s="104">
        <v>0.91413439452087364</v>
      </c>
    </row>
    <row r="148" spans="1:4">
      <c r="A148" s="104">
        <v>124</v>
      </c>
      <c r="B148" s="104">
        <v>913.17724574894521</v>
      </c>
      <c r="C148" s="104">
        <v>-463.20724574894518</v>
      </c>
      <c r="D148" s="104">
        <v>-0.50373308214458756</v>
      </c>
    </row>
    <row r="149" spans="1:4">
      <c r="A149" s="104">
        <v>125</v>
      </c>
      <c r="B149" s="104">
        <v>913.17724574894521</v>
      </c>
      <c r="C149" s="104">
        <v>-13.207245748945184</v>
      </c>
      <c r="D149" s="104">
        <v>-1.4362742959688059E-2</v>
      </c>
    </row>
    <row r="150" spans="1:4">
      <c r="A150" s="104">
        <v>126</v>
      </c>
      <c r="B150" s="104">
        <v>913.17724574894521</v>
      </c>
      <c r="C150" s="104">
        <v>1786.7927542510547</v>
      </c>
      <c r="D150" s="104">
        <v>1.9431186137799097</v>
      </c>
    </row>
    <row r="151" spans="1:4">
      <c r="A151" s="104">
        <v>127</v>
      </c>
      <c r="B151" s="104">
        <v>1620.75445142424</v>
      </c>
      <c r="C151" s="104">
        <v>1879.1955485757599</v>
      </c>
      <c r="D151" s="104">
        <v>2.0436056955583841</v>
      </c>
    </row>
    <row r="152" spans="1:4">
      <c r="A152" s="104">
        <v>128</v>
      </c>
      <c r="B152" s="104">
        <v>1266.9658485865925</v>
      </c>
      <c r="C152" s="104">
        <v>1532.9941514134075</v>
      </c>
      <c r="D152" s="104">
        <v>1.6671152618792142</v>
      </c>
    </row>
    <row r="153" spans="1:4">
      <c r="A153" s="104">
        <v>129</v>
      </c>
      <c r="B153" s="104">
        <v>205.60004007365052</v>
      </c>
      <c r="C153" s="104">
        <v>694.38995992634955</v>
      </c>
      <c r="D153" s="104">
        <v>0.75514188936832538</v>
      </c>
    </row>
    <row r="154" spans="1:4">
      <c r="A154" s="104">
        <v>130</v>
      </c>
      <c r="B154" s="104">
        <v>559.38864291129789</v>
      </c>
      <c r="C154" s="104">
        <v>-259.40864291129787</v>
      </c>
      <c r="D154" s="104">
        <v>-0.28210421237554739</v>
      </c>
    </row>
    <row r="155" spans="1:4">
      <c r="A155" s="104">
        <v>131</v>
      </c>
      <c r="B155" s="104">
        <v>913.17724574894521</v>
      </c>
      <c r="C155" s="104">
        <v>-643.20724574894518</v>
      </c>
      <c r="D155" s="104">
        <v>-0.69948121781854733</v>
      </c>
    </row>
    <row r="156" spans="1:4">
      <c r="A156" s="104">
        <v>132</v>
      </c>
      <c r="B156" s="104">
        <v>559.38864291129789</v>
      </c>
      <c r="C156" s="104">
        <v>-259.40864291129787</v>
      </c>
      <c r="D156" s="104">
        <v>-0.28210421237554739</v>
      </c>
    </row>
    <row r="157" spans="1:4">
      <c r="A157" s="104">
        <v>133</v>
      </c>
      <c r="B157" s="104">
        <v>559.38864291129789</v>
      </c>
      <c r="C157" s="104">
        <v>840.59135708870213</v>
      </c>
      <c r="D157" s="104">
        <v>0.91413439452087364</v>
      </c>
    </row>
    <row r="158" spans="1:4">
      <c r="A158" s="104">
        <v>134</v>
      </c>
      <c r="B158" s="104">
        <v>1620.75445142424</v>
      </c>
      <c r="C158" s="104">
        <v>1879.1955485757599</v>
      </c>
      <c r="D158" s="104">
        <v>2.0436056955583841</v>
      </c>
    </row>
    <row r="159" spans="1:4">
      <c r="A159" s="104">
        <v>135</v>
      </c>
      <c r="B159" s="104">
        <v>913.17724574894521</v>
      </c>
      <c r="C159" s="104">
        <v>-643.20724574894518</v>
      </c>
      <c r="D159" s="104">
        <v>-0.69948121781854733</v>
      </c>
    </row>
    <row r="160" spans="1:4">
      <c r="A160" s="104">
        <v>136</v>
      </c>
      <c r="B160" s="104">
        <v>1620.75445142424</v>
      </c>
      <c r="C160" s="104">
        <v>-370.80445142423991</v>
      </c>
      <c r="D160" s="104">
        <v>-0.40324600036611308</v>
      </c>
    </row>
    <row r="161" spans="1:4">
      <c r="A161" s="104">
        <v>137</v>
      </c>
      <c r="B161" s="104">
        <v>913.17724574894521</v>
      </c>
      <c r="C161" s="104">
        <v>-13.207245748945184</v>
      </c>
      <c r="D161" s="104">
        <v>-1.4362742959688059E-2</v>
      </c>
    </row>
    <row r="162" spans="1:4">
      <c r="A162" s="104">
        <v>138</v>
      </c>
      <c r="B162" s="104">
        <v>913.17724574894521</v>
      </c>
      <c r="C162" s="104">
        <v>-643.20724574894518</v>
      </c>
      <c r="D162" s="104">
        <v>-0.69948121781854733</v>
      </c>
    </row>
    <row r="163" spans="1:4">
      <c r="A163" s="104">
        <v>139</v>
      </c>
      <c r="B163" s="104">
        <v>559.38864291129789</v>
      </c>
      <c r="C163" s="104">
        <v>-259.40864291129787</v>
      </c>
      <c r="D163" s="104">
        <v>-0.28210421237554739</v>
      </c>
    </row>
    <row r="164" spans="1:4">
      <c r="A164" s="104">
        <v>140</v>
      </c>
      <c r="B164" s="104">
        <v>205.60004007365052</v>
      </c>
      <c r="C164" s="104">
        <v>44.389959926349491</v>
      </c>
      <c r="D164" s="104">
        <v>4.8273621656803878E-2</v>
      </c>
    </row>
    <row r="165" spans="1:4">
      <c r="A165" s="104">
        <v>141</v>
      </c>
      <c r="B165" s="104">
        <v>913.17724574894521</v>
      </c>
      <c r="C165" s="104">
        <v>-463.20724574894518</v>
      </c>
      <c r="D165" s="104">
        <v>-0.50373308214458756</v>
      </c>
    </row>
    <row r="166" spans="1:4">
      <c r="A166" s="104">
        <v>142</v>
      </c>
      <c r="B166" s="104">
        <v>1620.75445142424</v>
      </c>
      <c r="C166" s="104">
        <v>-1320.8044514242399</v>
      </c>
      <c r="D166" s="104">
        <v>-1.4363611608675675</v>
      </c>
    </row>
    <row r="167" spans="1:4">
      <c r="A167" s="104">
        <v>143</v>
      </c>
      <c r="B167" s="104">
        <v>1266.9658485865925</v>
      </c>
      <c r="C167" s="104">
        <v>-267.00584858659249</v>
      </c>
      <c r="D167" s="104">
        <v>-0.29036609486038373</v>
      </c>
    </row>
    <row r="168" spans="1:4">
      <c r="A168" s="104">
        <v>144</v>
      </c>
      <c r="B168" s="104">
        <v>1620.75445142424</v>
      </c>
      <c r="C168" s="104">
        <v>-870.80445142423991</v>
      </c>
      <c r="D168" s="104">
        <v>-0.94699082168266802</v>
      </c>
    </row>
    <row r="169" spans="1:4">
      <c r="A169" s="104">
        <v>145</v>
      </c>
      <c r="B169" s="104">
        <v>913.17724574894521</v>
      </c>
      <c r="C169" s="104">
        <v>-733.20724574894518</v>
      </c>
      <c r="D169" s="104">
        <v>-0.79735528565552727</v>
      </c>
    </row>
    <row r="170" spans="1:4">
      <c r="A170" s="104">
        <v>146</v>
      </c>
      <c r="B170" s="104">
        <v>1620.75445142424</v>
      </c>
      <c r="C170" s="104">
        <v>-870.80445142423991</v>
      </c>
      <c r="D170" s="104">
        <v>-0.94699082168266802</v>
      </c>
    </row>
    <row r="171" spans="1:4">
      <c r="A171" s="104">
        <v>147</v>
      </c>
      <c r="B171" s="104">
        <v>559.38864291129789</v>
      </c>
      <c r="C171" s="104">
        <v>840.59135708870213</v>
      </c>
      <c r="D171" s="104">
        <v>0.91413439452087364</v>
      </c>
    </row>
    <row r="172" spans="1:4">
      <c r="A172" s="104">
        <v>148</v>
      </c>
      <c r="B172" s="104">
        <v>1266.9658485865925</v>
      </c>
      <c r="C172" s="104">
        <v>-467.00584858659249</v>
      </c>
      <c r="D172" s="104">
        <v>-0.50786402338700576</v>
      </c>
    </row>
    <row r="173" spans="1:4">
      <c r="A173" s="104">
        <v>149</v>
      </c>
      <c r="B173" s="104">
        <v>205.60004007365052</v>
      </c>
      <c r="C173" s="104">
        <v>-145.61004007365051</v>
      </c>
      <c r="D173" s="104">
        <v>-0.15834941044348702</v>
      </c>
    </row>
    <row r="174" spans="1:4">
      <c r="A174" s="104">
        <v>150</v>
      </c>
      <c r="B174" s="104">
        <v>913.17724574894521</v>
      </c>
      <c r="C174" s="104">
        <v>1186.7927542510547</v>
      </c>
      <c r="D174" s="104">
        <v>1.2906248282000439</v>
      </c>
    </row>
    <row r="175" spans="1:4">
      <c r="A175" s="104">
        <v>151</v>
      </c>
      <c r="B175" s="104">
        <v>1620.75445142424</v>
      </c>
      <c r="C175" s="104">
        <v>-370.80445142423991</v>
      </c>
      <c r="D175" s="104">
        <v>-0.40324600036611308</v>
      </c>
    </row>
    <row r="176" spans="1:4">
      <c r="A176" s="104">
        <v>152</v>
      </c>
      <c r="B176" s="104">
        <v>559.38864291129789</v>
      </c>
      <c r="C176" s="104">
        <v>-259.40864291129787</v>
      </c>
      <c r="D176" s="104">
        <v>-0.28210421237554739</v>
      </c>
    </row>
    <row r="177" spans="1:4">
      <c r="A177" s="104">
        <v>153</v>
      </c>
      <c r="B177" s="104">
        <v>913.17724574894521</v>
      </c>
      <c r="C177" s="104">
        <v>-13.207245748945184</v>
      </c>
      <c r="D177" s="104">
        <v>-1.4362742959688059E-2</v>
      </c>
    </row>
    <row r="178" spans="1:4">
      <c r="A178" s="104">
        <v>154</v>
      </c>
      <c r="B178" s="104">
        <v>1620.75445142424</v>
      </c>
      <c r="C178" s="104">
        <v>-370.80445142423991</v>
      </c>
      <c r="D178" s="104">
        <v>-0.40324600036611308</v>
      </c>
    </row>
    <row r="179" spans="1:4">
      <c r="A179" s="104">
        <v>155</v>
      </c>
      <c r="B179" s="104">
        <v>559.38864291129789</v>
      </c>
      <c r="C179" s="104">
        <v>-259.40864291129787</v>
      </c>
      <c r="D179" s="104">
        <v>-0.28210421237554739</v>
      </c>
    </row>
    <row r="180" spans="1:4">
      <c r="A180" s="104">
        <v>156</v>
      </c>
      <c r="B180" s="104">
        <v>1620.75445142424</v>
      </c>
      <c r="C180" s="104">
        <v>1879.1955485757599</v>
      </c>
      <c r="D180" s="104">
        <v>2.0436056955583841</v>
      </c>
    </row>
    <row r="181" spans="1:4">
      <c r="A181" s="104">
        <v>157</v>
      </c>
      <c r="B181" s="104">
        <v>1266.9658485865925</v>
      </c>
      <c r="C181" s="104">
        <v>-267.00584858659249</v>
      </c>
      <c r="D181" s="104">
        <v>-0.29036609486038373</v>
      </c>
    </row>
    <row r="182" spans="1:4">
      <c r="A182" s="104">
        <v>158</v>
      </c>
      <c r="B182" s="104">
        <v>1266.9658485865925</v>
      </c>
      <c r="C182" s="104">
        <v>1532.9941514134075</v>
      </c>
      <c r="D182" s="104">
        <v>1.6671152618792142</v>
      </c>
    </row>
    <row r="183" spans="1:4">
      <c r="A183" s="104">
        <v>159</v>
      </c>
      <c r="B183" s="104">
        <v>559.38864291129789</v>
      </c>
      <c r="C183" s="104">
        <v>-59.408642911297875</v>
      </c>
      <c r="D183" s="104">
        <v>-6.4606283848925375E-2</v>
      </c>
    </row>
    <row r="184" spans="1:4">
      <c r="A184" s="104">
        <v>160</v>
      </c>
      <c r="B184" s="104">
        <v>913.17724574894521</v>
      </c>
      <c r="C184" s="104">
        <v>-733.20724574894518</v>
      </c>
      <c r="D184" s="104">
        <v>-0.79735528565552727</v>
      </c>
    </row>
    <row r="185" spans="1:4">
      <c r="A185" s="104">
        <v>161</v>
      </c>
      <c r="B185" s="104">
        <v>1266.9658485865925</v>
      </c>
      <c r="C185" s="104">
        <v>-947.00584858659249</v>
      </c>
      <c r="D185" s="104">
        <v>-1.0298590518508985</v>
      </c>
    </row>
    <row r="186" spans="1:4">
      <c r="A186" s="104">
        <v>162</v>
      </c>
      <c r="B186" s="104">
        <v>913.17724574894521</v>
      </c>
      <c r="C186" s="104">
        <v>-673.20724574894518</v>
      </c>
      <c r="D186" s="104">
        <v>-0.73210590709754064</v>
      </c>
    </row>
    <row r="187" spans="1:4">
      <c r="A187" s="104">
        <v>163</v>
      </c>
      <c r="B187" s="104">
        <v>559.38864291129789</v>
      </c>
      <c r="C187" s="104">
        <v>1240.5913570887021</v>
      </c>
      <c r="D187" s="104">
        <v>1.3491302515741177</v>
      </c>
    </row>
    <row r="188" spans="1:4">
      <c r="A188" s="104">
        <v>164</v>
      </c>
      <c r="B188" s="104">
        <v>205.60004007365052</v>
      </c>
      <c r="C188" s="104">
        <v>-55.610040073650509</v>
      </c>
      <c r="D188" s="104">
        <v>-6.0475342606507117E-2</v>
      </c>
    </row>
    <row r="189" spans="1:4">
      <c r="A189" s="104">
        <v>165</v>
      </c>
      <c r="B189" s="104">
        <v>559.38864291129789</v>
      </c>
      <c r="C189" s="104">
        <v>40.591357088702125</v>
      </c>
      <c r="D189" s="104">
        <v>4.4142680414385627E-2</v>
      </c>
    </row>
    <row r="190" spans="1:4">
      <c r="A190" s="104">
        <v>166</v>
      </c>
      <c r="B190" s="104">
        <v>559.38864291129789</v>
      </c>
      <c r="C190" s="104">
        <v>-439.40864291129787</v>
      </c>
      <c r="D190" s="104">
        <v>-0.47785234804950716</v>
      </c>
    </row>
    <row r="191" spans="1:4">
      <c r="A191" s="104">
        <v>167</v>
      </c>
      <c r="B191" s="104">
        <v>205.60004007365052</v>
      </c>
      <c r="C191" s="104">
        <v>-115.61004007365052</v>
      </c>
      <c r="D191" s="104">
        <v>-0.12572472116449374</v>
      </c>
    </row>
    <row r="192" spans="1:4">
      <c r="A192" s="104">
        <v>168</v>
      </c>
      <c r="B192" s="104">
        <v>1620.75445142424</v>
      </c>
      <c r="C192" s="104">
        <v>2879.1955485757599</v>
      </c>
      <c r="D192" s="104">
        <v>3.1310953381914941</v>
      </c>
    </row>
    <row r="193" spans="1:4">
      <c r="A193" s="104">
        <v>169</v>
      </c>
      <c r="B193" s="104">
        <v>559.38864291129789</v>
      </c>
      <c r="C193" s="104">
        <v>-259.40864291129787</v>
      </c>
      <c r="D193" s="104">
        <v>-0.28210421237554739</v>
      </c>
    </row>
    <row r="194" spans="1:4">
      <c r="A194" s="104">
        <v>170</v>
      </c>
      <c r="B194" s="104">
        <v>559.38864291129789</v>
      </c>
      <c r="C194" s="104">
        <v>-259.40864291129787</v>
      </c>
      <c r="D194" s="104">
        <v>-0.28210421237554739</v>
      </c>
    </row>
    <row r="195" spans="1:4">
      <c r="A195" s="104">
        <v>171</v>
      </c>
      <c r="B195" s="104">
        <v>913.17724574894521</v>
      </c>
      <c r="C195" s="104">
        <v>-463.20724574894518</v>
      </c>
      <c r="D195" s="104">
        <v>-0.50373308214458756</v>
      </c>
    </row>
    <row r="196" spans="1:4">
      <c r="A196" s="104">
        <v>172</v>
      </c>
      <c r="B196" s="104">
        <v>559.38864291129789</v>
      </c>
      <c r="C196" s="104">
        <v>40.591357088702125</v>
      </c>
      <c r="D196" s="104">
        <v>4.4142680414385627E-2</v>
      </c>
    </row>
    <row r="197" spans="1:4">
      <c r="A197" s="104">
        <v>173</v>
      </c>
      <c r="B197" s="104">
        <v>559.38864291129789</v>
      </c>
      <c r="C197" s="104">
        <v>40.591357088702125</v>
      </c>
      <c r="D197" s="104">
        <v>4.4142680414385627E-2</v>
      </c>
    </row>
    <row r="198" spans="1:4">
      <c r="A198" s="104">
        <v>174</v>
      </c>
      <c r="B198" s="104">
        <v>1266.9658485865925</v>
      </c>
      <c r="C198" s="104">
        <v>-467.00584858659249</v>
      </c>
      <c r="D198" s="104">
        <v>-0.50786402338700576</v>
      </c>
    </row>
    <row r="199" spans="1:4">
      <c r="A199" s="104">
        <v>175</v>
      </c>
      <c r="B199" s="104">
        <v>205.60004007365052</v>
      </c>
      <c r="C199" s="104">
        <v>-115.61004007365052</v>
      </c>
      <c r="D199" s="104">
        <v>-0.12572472116449374</v>
      </c>
    </row>
    <row r="200" spans="1:4">
      <c r="A200" s="104">
        <v>176</v>
      </c>
      <c r="B200" s="104">
        <v>1620.75445142424</v>
      </c>
      <c r="C200" s="104">
        <v>-870.80445142423991</v>
      </c>
      <c r="D200" s="104">
        <v>-0.94699082168266802</v>
      </c>
    </row>
    <row r="201" spans="1:4">
      <c r="A201" s="104">
        <v>177</v>
      </c>
      <c r="B201" s="104">
        <v>205.60004007365052</v>
      </c>
      <c r="C201" s="104">
        <v>694.38995992634955</v>
      </c>
      <c r="D201" s="104">
        <v>0.75514188936832538</v>
      </c>
    </row>
    <row r="202" spans="1:4">
      <c r="A202" s="104">
        <v>178</v>
      </c>
      <c r="B202" s="104">
        <v>559.38864291129789</v>
      </c>
      <c r="C202" s="104">
        <v>-379.40864291129787</v>
      </c>
      <c r="D202" s="104">
        <v>-0.41260296949152059</v>
      </c>
    </row>
    <row r="203" spans="1:4">
      <c r="A203" s="104">
        <v>179</v>
      </c>
      <c r="B203" s="104">
        <v>205.60004007365052</v>
      </c>
      <c r="C203" s="104">
        <v>694.38995992634955</v>
      </c>
      <c r="D203" s="104">
        <v>0.75514188936832538</v>
      </c>
    </row>
    <row r="204" spans="1:4">
      <c r="A204" s="104">
        <v>180</v>
      </c>
      <c r="B204" s="104">
        <v>1620.75445142424</v>
      </c>
      <c r="C204" s="104">
        <v>-870.80445142423991</v>
      </c>
      <c r="D204" s="104">
        <v>-0.94699082168266802</v>
      </c>
    </row>
    <row r="205" spans="1:4">
      <c r="A205" s="104">
        <v>181</v>
      </c>
      <c r="B205" s="104">
        <v>913.17724574894521</v>
      </c>
      <c r="C205" s="104">
        <v>-13.207245748945184</v>
      </c>
      <c r="D205" s="104">
        <v>-1.4362742959688059E-2</v>
      </c>
    </row>
    <row r="206" spans="1:4">
      <c r="A206" s="104">
        <v>182</v>
      </c>
      <c r="B206" s="104">
        <v>913.17724574894521</v>
      </c>
      <c r="C206" s="104">
        <v>1186.7927542510547</v>
      </c>
      <c r="D206" s="104">
        <v>1.2906248282000439</v>
      </c>
    </row>
    <row r="207" spans="1:4">
      <c r="A207" s="104">
        <v>183</v>
      </c>
      <c r="B207" s="104">
        <v>1620.75445142424</v>
      </c>
      <c r="C207" s="104">
        <v>-620.80445142423991</v>
      </c>
      <c r="D207" s="104">
        <v>-0.67511841102439052</v>
      </c>
    </row>
    <row r="208" spans="1:4">
      <c r="A208" s="104">
        <v>184</v>
      </c>
      <c r="B208" s="104">
        <v>1620.75445142424</v>
      </c>
      <c r="C208" s="104">
        <v>-370.80445142423991</v>
      </c>
      <c r="D208" s="104">
        <v>-0.40324600036611308</v>
      </c>
    </row>
    <row r="209" spans="1:4">
      <c r="A209" s="104">
        <v>185</v>
      </c>
      <c r="B209" s="104">
        <v>1266.9658485865925</v>
      </c>
      <c r="C209" s="104">
        <v>-667.00584858659249</v>
      </c>
      <c r="D209" s="104">
        <v>-0.72536195191362773</v>
      </c>
    </row>
    <row r="210" spans="1:4">
      <c r="A210" s="104">
        <v>186</v>
      </c>
      <c r="B210" s="104">
        <v>913.17724574894521</v>
      </c>
      <c r="C210" s="104">
        <v>1186.7927542510547</v>
      </c>
      <c r="D210" s="104">
        <v>1.2906248282000439</v>
      </c>
    </row>
    <row r="211" spans="1:4">
      <c r="A211" s="104">
        <v>187</v>
      </c>
      <c r="B211" s="104">
        <v>205.60004007365052</v>
      </c>
      <c r="C211" s="104">
        <v>-125.61004007365052</v>
      </c>
      <c r="D211" s="104">
        <v>-0.13659961759082484</v>
      </c>
    </row>
    <row r="212" spans="1:4">
      <c r="A212" s="104">
        <v>188</v>
      </c>
      <c r="B212" s="104">
        <v>205.60004007365052</v>
      </c>
      <c r="C212" s="104">
        <v>94.389959926349491</v>
      </c>
      <c r="D212" s="104">
        <v>0.10264810378845939</v>
      </c>
    </row>
    <row r="213" spans="1:4">
      <c r="A213" s="104">
        <v>189</v>
      </c>
      <c r="B213" s="104">
        <v>1266.9658485865925</v>
      </c>
      <c r="C213" s="104">
        <v>-267.00584858659249</v>
      </c>
      <c r="D213" s="104">
        <v>-0.29036609486038373</v>
      </c>
    </row>
    <row r="214" spans="1:4">
      <c r="A214" s="104">
        <v>190</v>
      </c>
      <c r="B214" s="104">
        <v>559.38864291129789</v>
      </c>
      <c r="C214" s="104">
        <v>-259.40864291129787</v>
      </c>
      <c r="D214" s="104">
        <v>-0.28210421237554739</v>
      </c>
    </row>
    <row r="215" spans="1:4">
      <c r="A215" s="104">
        <v>191</v>
      </c>
      <c r="B215" s="104">
        <v>913.17724574894521</v>
      </c>
      <c r="C215" s="104">
        <v>-13.207245748945184</v>
      </c>
      <c r="D215" s="104">
        <v>-1.4362742959688059E-2</v>
      </c>
    </row>
    <row r="216" spans="1:4">
      <c r="A216" s="104">
        <v>192</v>
      </c>
      <c r="B216" s="104">
        <v>1266.9658485865925</v>
      </c>
      <c r="C216" s="104">
        <v>-467.00584858659249</v>
      </c>
      <c r="D216" s="104">
        <v>-0.50786402338700576</v>
      </c>
    </row>
    <row r="217" spans="1:4">
      <c r="A217" s="104">
        <v>193</v>
      </c>
      <c r="B217" s="104">
        <v>1620.75445142424</v>
      </c>
      <c r="C217" s="104">
        <v>-120.80445142423991</v>
      </c>
      <c r="D217" s="104">
        <v>-0.13137358970783555</v>
      </c>
    </row>
    <row r="218" spans="1:4">
      <c r="A218" s="104">
        <v>194</v>
      </c>
      <c r="B218" s="104">
        <v>913.17724574894521</v>
      </c>
      <c r="C218" s="104">
        <v>-463.20724574894518</v>
      </c>
      <c r="D218" s="104">
        <v>-0.50373308214458756</v>
      </c>
    </row>
    <row r="219" spans="1:4">
      <c r="A219" s="104">
        <v>195</v>
      </c>
      <c r="B219" s="104">
        <v>1620.75445142424</v>
      </c>
      <c r="C219" s="104">
        <v>-1320.8044514242399</v>
      </c>
      <c r="D219" s="104">
        <v>-1.4363611608675675</v>
      </c>
    </row>
    <row r="220" spans="1:4">
      <c r="A220" s="104">
        <v>196</v>
      </c>
      <c r="B220" s="104">
        <v>1266.9658485865925</v>
      </c>
      <c r="C220" s="104">
        <v>-1027.0058485865925</v>
      </c>
      <c r="D220" s="104">
        <v>-1.1168582232615474</v>
      </c>
    </row>
    <row r="221" spans="1:4">
      <c r="A221" s="104">
        <v>197</v>
      </c>
      <c r="B221" s="104">
        <v>1266.9658485865925</v>
      </c>
      <c r="C221" s="104">
        <v>-267.00584858659249</v>
      </c>
      <c r="D221" s="104">
        <v>-0.29036609486038373</v>
      </c>
    </row>
    <row r="222" spans="1:4">
      <c r="A222" s="104">
        <v>198</v>
      </c>
      <c r="B222" s="104">
        <v>1266.9658485865925</v>
      </c>
      <c r="C222" s="104">
        <v>2332.9941514134075</v>
      </c>
      <c r="D222" s="104">
        <v>2.5371069759857021</v>
      </c>
    </row>
    <row r="223" spans="1:4">
      <c r="A223" s="104">
        <v>199</v>
      </c>
      <c r="B223" s="104">
        <v>913.17724574894521</v>
      </c>
      <c r="C223" s="104">
        <v>-13.207245748945184</v>
      </c>
      <c r="D223" s="104">
        <v>-1.4362742959688059E-2</v>
      </c>
    </row>
    <row r="224" spans="1:4">
      <c r="A224" s="104">
        <v>200</v>
      </c>
      <c r="B224" s="104">
        <v>559.38864291129789</v>
      </c>
      <c r="C224" s="104">
        <v>840.59135708870213</v>
      </c>
      <c r="D224" s="104">
        <v>0.91413439452087364</v>
      </c>
    </row>
    <row r="225" spans="1:4">
      <c r="A225" s="104">
        <v>201</v>
      </c>
      <c r="B225" s="104">
        <v>1266.9658485865925</v>
      </c>
      <c r="C225" s="104">
        <v>1532.9941514134075</v>
      </c>
      <c r="D225" s="104">
        <v>1.6671152618792142</v>
      </c>
    </row>
    <row r="226" spans="1:4">
      <c r="A226" s="104">
        <v>202</v>
      </c>
      <c r="B226" s="104">
        <v>559.38864291129789</v>
      </c>
      <c r="C226" s="104">
        <v>-379.40864291129787</v>
      </c>
      <c r="D226" s="104">
        <v>-0.41260296949152059</v>
      </c>
    </row>
    <row r="227" spans="1:4">
      <c r="A227" s="104">
        <v>203</v>
      </c>
      <c r="B227" s="104">
        <v>913.17724574894521</v>
      </c>
      <c r="C227" s="104">
        <v>-643.20724574894518</v>
      </c>
      <c r="D227" s="104">
        <v>-0.69948121781854733</v>
      </c>
    </row>
    <row r="228" spans="1:4">
      <c r="A228" s="104">
        <v>204</v>
      </c>
      <c r="B228" s="104">
        <v>205.60004007365052</v>
      </c>
      <c r="C228" s="104">
        <v>-145.61004007365051</v>
      </c>
      <c r="D228" s="104">
        <v>-0.15834941044348702</v>
      </c>
    </row>
    <row r="229" spans="1:4">
      <c r="A229" s="104">
        <v>205</v>
      </c>
      <c r="B229" s="104">
        <v>913.17724574894521</v>
      </c>
      <c r="C229" s="104">
        <v>-463.20724574894518</v>
      </c>
      <c r="D229" s="104">
        <v>-0.50373308214458756</v>
      </c>
    </row>
    <row r="230" spans="1:4">
      <c r="A230" s="104">
        <v>206</v>
      </c>
      <c r="B230" s="104">
        <v>1620.75445142424</v>
      </c>
      <c r="C230" s="104">
        <v>-120.80445142423991</v>
      </c>
      <c r="D230" s="104">
        <v>-0.13137358970783555</v>
      </c>
    </row>
    <row r="231" spans="1:4">
      <c r="A231" s="104">
        <v>207</v>
      </c>
      <c r="B231" s="104">
        <v>1620.75445142424</v>
      </c>
      <c r="C231" s="104">
        <v>-1320.8044514242399</v>
      </c>
      <c r="D231" s="104">
        <v>-1.4363611608675675</v>
      </c>
    </row>
    <row r="232" spans="1:4">
      <c r="A232" s="104">
        <v>208</v>
      </c>
      <c r="B232" s="104">
        <v>913.17724574894521</v>
      </c>
      <c r="C232" s="104">
        <v>-673.20724574894518</v>
      </c>
      <c r="D232" s="104">
        <v>-0.73210590709754064</v>
      </c>
    </row>
    <row r="233" spans="1:4">
      <c r="A233" s="104">
        <v>209</v>
      </c>
      <c r="B233" s="104">
        <v>913.17724574894521</v>
      </c>
      <c r="C233" s="104">
        <v>-313.20724574894518</v>
      </c>
      <c r="D233" s="104">
        <v>-0.34060963574962105</v>
      </c>
    </row>
    <row r="234" spans="1:4">
      <c r="A234" s="104">
        <v>210</v>
      </c>
      <c r="B234" s="104">
        <v>559.38864291129789</v>
      </c>
      <c r="C234" s="104">
        <v>-379.40864291129787</v>
      </c>
      <c r="D234" s="104">
        <v>-0.41260296949152059</v>
      </c>
    </row>
    <row r="235" spans="1:4">
      <c r="A235" s="104">
        <v>211</v>
      </c>
      <c r="B235" s="104">
        <v>559.38864291129789</v>
      </c>
      <c r="C235" s="104">
        <v>-259.40864291129787</v>
      </c>
      <c r="D235" s="104">
        <v>-0.28210421237554739</v>
      </c>
    </row>
    <row r="236" spans="1:4">
      <c r="A236" s="104">
        <v>212</v>
      </c>
      <c r="B236" s="104">
        <v>1620.75445142424</v>
      </c>
      <c r="C236" s="104">
        <v>1879.1955485757599</v>
      </c>
      <c r="D236" s="104">
        <v>2.0436056955583841</v>
      </c>
    </row>
    <row r="237" spans="1:4">
      <c r="A237" s="104">
        <v>213</v>
      </c>
      <c r="B237" s="104">
        <v>913.17724574894521</v>
      </c>
      <c r="C237" s="104">
        <v>-463.20724574894518</v>
      </c>
      <c r="D237" s="104">
        <v>-0.50373308214458756</v>
      </c>
    </row>
    <row r="238" spans="1:4">
      <c r="A238" s="104">
        <v>214</v>
      </c>
      <c r="B238" s="104">
        <v>913.17724574894521</v>
      </c>
      <c r="C238" s="104">
        <v>1786.7927542510547</v>
      </c>
      <c r="D238" s="104">
        <v>1.9431186137799097</v>
      </c>
    </row>
    <row r="239" spans="1:4">
      <c r="A239" s="104">
        <v>215</v>
      </c>
      <c r="B239" s="104">
        <v>913.17724574894521</v>
      </c>
      <c r="C239" s="104">
        <v>-313.20724574894518</v>
      </c>
      <c r="D239" s="104">
        <v>-0.34060963574962105</v>
      </c>
    </row>
    <row r="240" spans="1:4">
      <c r="A240" s="104">
        <v>216</v>
      </c>
      <c r="B240" s="104">
        <v>1620.75445142424</v>
      </c>
      <c r="C240" s="104">
        <v>-120.80445142423991</v>
      </c>
      <c r="D240" s="104">
        <v>-0.13137358970783555</v>
      </c>
    </row>
    <row r="241" spans="1:4">
      <c r="A241" s="104">
        <v>217</v>
      </c>
      <c r="B241" s="104">
        <v>205.60004007365052</v>
      </c>
      <c r="C241" s="104">
        <v>494.38995992634949</v>
      </c>
      <c r="D241" s="104">
        <v>0.53764396084170341</v>
      </c>
    </row>
    <row r="242" spans="1:4">
      <c r="A242" s="104">
        <v>218</v>
      </c>
      <c r="B242" s="104">
        <v>205.60004007365052</v>
      </c>
      <c r="C242" s="104">
        <v>494.38995992634949</v>
      </c>
      <c r="D242" s="104">
        <v>0.53764396084170341</v>
      </c>
    </row>
    <row r="243" spans="1:4">
      <c r="A243" s="104">
        <v>219</v>
      </c>
      <c r="B243" s="104">
        <v>1266.9658485865925</v>
      </c>
      <c r="C243" s="104">
        <v>-667.00584858659249</v>
      </c>
      <c r="D243" s="104">
        <v>-0.72536195191362773</v>
      </c>
    </row>
    <row r="244" spans="1:4">
      <c r="A244" s="104">
        <v>220</v>
      </c>
      <c r="B244" s="104">
        <v>1620.75445142424</v>
      </c>
      <c r="C244" s="104">
        <v>-1170.8044514242399</v>
      </c>
      <c r="D244" s="104">
        <v>-1.273237714472601</v>
      </c>
    </row>
    <row r="245" spans="1:4">
      <c r="A245" s="104">
        <v>221</v>
      </c>
      <c r="B245" s="104">
        <v>559.38864291129789</v>
      </c>
      <c r="C245" s="104">
        <v>-159.40864291129787</v>
      </c>
      <c r="D245" s="104">
        <v>-0.17335524811223638</v>
      </c>
    </row>
    <row r="246" spans="1:4">
      <c r="A246" s="104">
        <v>222</v>
      </c>
      <c r="B246" s="104">
        <v>1266.9658485865925</v>
      </c>
      <c r="C246" s="104">
        <v>-1027.0058485865925</v>
      </c>
      <c r="D246" s="104">
        <v>-1.1168582232615474</v>
      </c>
    </row>
    <row r="247" spans="1:4">
      <c r="A247" s="104">
        <v>223</v>
      </c>
      <c r="B247" s="104">
        <v>559.38864291129789</v>
      </c>
      <c r="C247" s="104">
        <v>40.591357088702125</v>
      </c>
      <c r="D247" s="104">
        <v>4.4142680414385627E-2</v>
      </c>
    </row>
    <row r="248" spans="1:4">
      <c r="A248" s="104">
        <v>224</v>
      </c>
      <c r="B248" s="104">
        <v>559.38864291129789</v>
      </c>
      <c r="C248" s="104">
        <v>-259.40864291129787</v>
      </c>
      <c r="D248" s="104">
        <v>-0.28210421237554739</v>
      </c>
    </row>
    <row r="249" spans="1:4">
      <c r="A249" s="104">
        <v>225</v>
      </c>
      <c r="B249" s="104">
        <v>1620.75445142424</v>
      </c>
      <c r="C249" s="104">
        <v>1879.1955485757599</v>
      </c>
      <c r="D249" s="104">
        <v>2.0436056955583841</v>
      </c>
    </row>
    <row r="250" spans="1:4">
      <c r="A250" s="104">
        <v>226</v>
      </c>
      <c r="B250" s="104">
        <v>1620.75445142424</v>
      </c>
      <c r="C250" s="104">
        <v>-1320.8044514242399</v>
      </c>
      <c r="D250" s="104">
        <v>-1.4363611608675675</v>
      </c>
    </row>
    <row r="251" spans="1:4">
      <c r="A251" s="104">
        <v>227</v>
      </c>
      <c r="B251" s="104">
        <v>559.38864291129789</v>
      </c>
      <c r="C251" s="104">
        <v>-379.40864291129787</v>
      </c>
      <c r="D251" s="104">
        <v>-0.41260296949152059</v>
      </c>
    </row>
    <row r="252" spans="1:4">
      <c r="A252" s="104">
        <v>228</v>
      </c>
      <c r="B252" s="104">
        <v>1620.75445142424</v>
      </c>
      <c r="C252" s="104">
        <v>-370.80445142423991</v>
      </c>
      <c r="D252" s="104">
        <v>-0.40324600036611308</v>
      </c>
    </row>
    <row r="253" spans="1:4">
      <c r="A253" s="104">
        <v>229</v>
      </c>
      <c r="B253" s="104">
        <v>559.38864291129789</v>
      </c>
      <c r="C253" s="104">
        <v>-259.40864291129787</v>
      </c>
      <c r="D253" s="104">
        <v>-0.28210421237554739</v>
      </c>
    </row>
    <row r="254" spans="1:4">
      <c r="A254" s="104">
        <v>230</v>
      </c>
      <c r="B254" s="104">
        <v>1620.75445142424</v>
      </c>
      <c r="C254" s="104">
        <v>2879.1955485757599</v>
      </c>
      <c r="D254" s="104">
        <v>3.1310953381914941</v>
      </c>
    </row>
    <row r="255" spans="1:4">
      <c r="A255" s="104">
        <v>231</v>
      </c>
      <c r="B255" s="104">
        <v>1266.9658485865925</v>
      </c>
      <c r="C255" s="104">
        <v>-667.00584858659249</v>
      </c>
      <c r="D255" s="104">
        <v>-0.72536195191362773</v>
      </c>
    </row>
    <row r="256" spans="1:4">
      <c r="A256" s="104">
        <v>232</v>
      </c>
      <c r="B256" s="104">
        <v>205.60004007365052</v>
      </c>
      <c r="C256" s="104">
        <v>44.389959926349491</v>
      </c>
      <c r="D256" s="104">
        <v>4.8273621656803878E-2</v>
      </c>
    </row>
    <row r="257" spans="1:4">
      <c r="A257" s="104">
        <v>233</v>
      </c>
      <c r="B257" s="104">
        <v>559.38864291129789</v>
      </c>
      <c r="C257" s="104">
        <v>-439.40864291129787</v>
      </c>
      <c r="D257" s="104">
        <v>-0.47785234804950716</v>
      </c>
    </row>
    <row r="258" spans="1:4">
      <c r="A258" s="104">
        <v>234</v>
      </c>
      <c r="B258" s="104">
        <v>559.38864291129789</v>
      </c>
      <c r="C258" s="104">
        <v>-259.40864291129787</v>
      </c>
      <c r="D258" s="104">
        <v>-0.28210421237554739</v>
      </c>
    </row>
    <row r="259" spans="1:4">
      <c r="A259" s="104">
        <v>235</v>
      </c>
      <c r="B259" s="104">
        <v>913.17724574894521</v>
      </c>
      <c r="C259" s="104">
        <v>1786.7927542510547</v>
      </c>
      <c r="D259" s="104">
        <v>1.9431186137799097</v>
      </c>
    </row>
    <row r="260" spans="1:4">
      <c r="A260" s="104">
        <v>236</v>
      </c>
      <c r="B260" s="104">
        <v>913.17724574894521</v>
      </c>
      <c r="C260" s="104">
        <v>1786.7927542510547</v>
      </c>
      <c r="D260" s="104">
        <v>1.9431186137799097</v>
      </c>
    </row>
    <row r="261" spans="1:4">
      <c r="A261" s="104">
        <v>237</v>
      </c>
      <c r="B261" s="104">
        <v>913.17724574894521</v>
      </c>
      <c r="C261" s="104">
        <v>-13.207245748945184</v>
      </c>
      <c r="D261" s="104">
        <v>-1.4362742959688059E-2</v>
      </c>
    </row>
    <row r="262" spans="1:4">
      <c r="A262" s="104">
        <v>238</v>
      </c>
      <c r="B262" s="104">
        <v>1266.9658485865925</v>
      </c>
      <c r="C262" s="104">
        <v>-667.00584858659249</v>
      </c>
      <c r="D262" s="104">
        <v>-0.72536195191362773</v>
      </c>
    </row>
    <row r="263" spans="1:4">
      <c r="A263" s="104">
        <v>239</v>
      </c>
      <c r="B263" s="104">
        <v>1266.9658485865925</v>
      </c>
      <c r="C263" s="104">
        <v>-947.00584858659249</v>
      </c>
      <c r="D263" s="104">
        <v>-1.0298590518508985</v>
      </c>
    </row>
    <row r="264" spans="1:4">
      <c r="A264" s="104">
        <v>240</v>
      </c>
      <c r="B264" s="104">
        <v>1620.75445142424</v>
      </c>
      <c r="C264" s="104">
        <v>-1170.8044514242399</v>
      </c>
      <c r="D264" s="104">
        <v>-1.273237714472601</v>
      </c>
    </row>
    <row r="265" spans="1:4">
      <c r="A265" s="104">
        <v>241</v>
      </c>
      <c r="B265" s="104">
        <v>913.17724574894521</v>
      </c>
      <c r="C265" s="104">
        <v>-463.20724574894518</v>
      </c>
      <c r="D265" s="104">
        <v>-0.50373308214458756</v>
      </c>
    </row>
    <row r="266" spans="1:4">
      <c r="A266" s="104">
        <v>242</v>
      </c>
      <c r="B266" s="104">
        <v>559.38864291129789</v>
      </c>
      <c r="C266" s="104">
        <v>-379.40864291129787</v>
      </c>
      <c r="D266" s="104">
        <v>-0.41260296949152059</v>
      </c>
    </row>
    <row r="267" spans="1:4">
      <c r="A267" s="104">
        <v>243</v>
      </c>
      <c r="B267" s="104">
        <v>559.38864291129789</v>
      </c>
      <c r="C267" s="104">
        <v>840.59135708870213</v>
      </c>
      <c r="D267" s="104">
        <v>0.91413439452087364</v>
      </c>
    </row>
    <row r="268" spans="1:4">
      <c r="A268" s="104">
        <v>244</v>
      </c>
      <c r="B268" s="104">
        <v>913.17724574894521</v>
      </c>
      <c r="C268" s="104">
        <v>1786.7927542510547</v>
      </c>
      <c r="D268" s="104">
        <v>1.9431186137799097</v>
      </c>
    </row>
    <row r="269" spans="1:4">
      <c r="A269" s="104">
        <v>245</v>
      </c>
      <c r="B269" s="104">
        <v>913.17724574894521</v>
      </c>
      <c r="C269" s="104">
        <v>-673.20724574894518</v>
      </c>
      <c r="D269" s="104">
        <v>-0.73210590709754064</v>
      </c>
    </row>
    <row r="270" spans="1:4">
      <c r="A270" s="104">
        <v>246</v>
      </c>
      <c r="B270" s="104">
        <v>205.60004007365052</v>
      </c>
      <c r="C270" s="104">
        <v>-115.61004007365052</v>
      </c>
      <c r="D270" s="104">
        <v>-0.12572472116449374</v>
      </c>
    </row>
    <row r="271" spans="1:4">
      <c r="A271" s="104">
        <v>247</v>
      </c>
      <c r="B271" s="104">
        <v>913.17724574894521</v>
      </c>
      <c r="C271" s="104">
        <v>1186.7927542510547</v>
      </c>
      <c r="D271" s="104">
        <v>1.2906248282000439</v>
      </c>
    </row>
    <row r="272" spans="1:4">
      <c r="A272" s="104">
        <v>248</v>
      </c>
      <c r="B272" s="104">
        <v>559.38864291129789</v>
      </c>
      <c r="C272" s="104">
        <v>-379.40864291129787</v>
      </c>
      <c r="D272" s="104">
        <v>-0.41260296949152059</v>
      </c>
    </row>
    <row r="273" spans="1:4" ht="15" thickBot="1">
      <c r="A273" s="105">
        <v>249</v>
      </c>
      <c r="B273" s="105">
        <v>913.17724574894521</v>
      </c>
      <c r="C273" s="105">
        <v>-643.20724574894518</v>
      </c>
      <c r="D273" s="105">
        <v>-0.69948121781854733</v>
      </c>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3F6A7-D769-4A57-92E5-8309F835EBBC}">
  <dimension ref="A1:K25"/>
  <sheetViews>
    <sheetView view="pageBreakPreview" zoomScale="60" zoomScaleNormal="88" workbookViewId="0">
      <selection sqref="A1:B1"/>
    </sheetView>
  </sheetViews>
  <sheetFormatPr defaultRowHeight="14.4"/>
  <cols>
    <col min="1" max="1" width="24.6640625" customWidth="1"/>
    <col min="2" max="2" width="14.21875" customWidth="1"/>
    <col min="4" max="4" width="18.109375" customWidth="1"/>
    <col min="5" max="5" width="17" customWidth="1"/>
    <col min="6" max="6" width="8.5546875" customWidth="1"/>
    <col min="7" max="7" width="19.44140625" customWidth="1"/>
    <col min="8" max="8" width="13.44140625" customWidth="1"/>
    <col min="9" max="9" width="7.88671875" customWidth="1"/>
    <col min="10" max="10" width="16.44140625" customWidth="1"/>
    <col min="11" max="11" width="11.6640625" customWidth="1"/>
    <col min="13" max="13" width="15.88671875" customWidth="1"/>
  </cols>
  <sheetData>
    <row r="1" spans="1:11" ht="15.6">
      <c r="A1" s="127" t="s">
        <v>528</v>
      </c>
      <c r="B1" s="128"/>
      <c r="D1" s="129" t="s">
        <v>544</v>
      </c>
      <c r="E1" s="129"/>
      <c r="G1" s="127" t="s">
        <v>533</v>
      </c>
      <c r="H1" s="128"/>
      <c r="J1" s="127" t="s">
        <v>534</v>
      </c>
      <c r="K1" s="128"/>
    </row>
    <row r="3" spans="1:11">
      <c r="A3" s="34" t="s">
        <v>527</v>
      </c>
      <c r="B3" s="34">
        <f>COUNTA('Final Project Dataset'!A2:A251)</f>
        <v>250</v>
      </c>
      <c r="D3" s="34" t="s">
        <v>41</v>
      </c>
      <c r="E3" s="34">
        <f>SUMIF('Final Project Dataset'!K2:K251,"North",'Final Project Dataset'!N2:N251)</f>
        <v>50808.310000000012</v>
      </c>
      <c r="G3" s="34" t="s">
        <v>20</v>
      </c>
      <c r="H3" s="34">
        <f>SUMIF('Final Project Dataset'!G2:G251,"Electronics",'Final Project Dataset'!N2:N251)</f>
        <v>171756.05000000013</v>
      </c>
      <c r="J3" s="34" t="s">
        <v>28</v>
      </c>
      <c r="K3" s="34">
        <f>SUMIF('Final Project Dataset'!L2:L251,"Premium",'Final Project Dataset'!N2:N251)</f>
        <v>84657.12000000001</v>
      </c>
    </row>
    <row r="4" spans="1:11">
      <c r="A4" s="34" t="s">
        <v>480</v>
      </c>
      <c r="B4" s="34">
        <f>SUM('Final Project Dataset'!N2:N251)</f>
        <v>229192.47000000032</v>
      </c>
      <c r="D4" s="34" t="s">
        <v>36</v>
      </c>
      <c r="E4" s="34">
        <f>SUMIF('Final Project Dataset'!K2:K251,"South",'Final Project Dataset'!N2:N251)</f>
        <v>36398.750000000007</v>
      </c>
      <c r="G4" s="34" t="s">
        <v>47</v>
      </c>
      <c r="H4" s="34">
        <f>SUMIF('Final Project Dataset'!G2:G251,"Furniture",'Final Project Dataset'!N2:N251)</f>
        <v>49097.680000000015</v>
      </c>
      <c r="J4" s="34" t="s">
        <v>37</v>
      </c>
      <c r="K4" s="34">
        <f>SUMIF('Final Project Dataset'!L2:L251,"Standard",'Final Project Dataset'!N2:N251)</f>
        <v>82357.540000000037</v>
      </c>
    </row>
    <row r="5" spans="1:11">
      <c r="A5" s="34" t="s">
        <v>529</v>
      </c>
      <c r="B5" s="34">
        <f>AVERAGE('Final Project Dataset'!N2:N251)</f>
        <v>916.76988000000131</v>
      </c>
      <c r="D5" s="34" t="s">
        <v>64</v>
      </c>
      <c r="E5" s="34">
        <f>SUMIF('Final Project Dataset'!K2:K251,"East",'Final Project Dataset'!N2:N251)</f>
        <v>59288.389999999992</v>
      </c>
      <c r="G5" s="34" t="s">
        <v>34</v>
      </c>
      <c r="H5" s="34">
        <f>SUMIF('Final Project Dataset'!G2:G251,"Appliances",'Final Project Dataset'!N2:N251)</f>
        <v>8338.7399999999961</v>
      </c>
      <c r="J5" s="34" t="s">
        <v>23</v>
      </c>
      <c r="K5" s="34">
        <f>SUMIF('Final Project Dataset'!L2:L251,"Basic",'Final Project Dataset'!N2:N251)</f>
        <v>62177.810000000019</v>
      </c>
    </row>
    <row r="6" spans="1:11">
      <c r="A6" s="34" t="s">
        <v>530</v>
      </c>
      <c r="B6" s="34">
        <f>MAX('Final Project Dataset'!N2:N251)</f>
        <v>4499.95</v>
      </c>
      <c r="D6" s="34" t="s">
        <v>51</v>
      </c>
      <c r="E6" s="34">
        <f>SUMIF('Final Project Dataset'!K2:K251,"West",'Final Project Dataset'!N2:N251)</f>
        <v>41408.680000000015</v>
      </c>
      <c r="G6" s="34" t="s">
        <v>507</v>
      </c>
      <c r="H6" s="34">
        <f>SUM(H3:H5)</f>
        <v>229192.47000000015</v>
      </c>
      <c r="J6" s="34" t="s">
        <v>507</v>
      </c>
      <c r="K6" s="34">
        <f>SUM(K3:K5)</f>
        <v>229192.47000000006</v>
      </c>
    </row>
    <row r="7" spans="1:11">
      <c r="A7" s="34" t="s">
        <v>531</v>
      </c>
      <c r="B7" s="34">
        <f>MIN('Final Project Dataset'!N2:N251)</f>
        <v>59.99</v>
      </c>
      <c r="D7" s="34" t="s">
        <v>22</v>
      </c>
      <c r="E7" s="34">
        <f>SUMIF('Final Project Dataset'!K2:K251,"Central",'Final Project Dataset'!N2:N251)</f>
        <v>41288.340000000018</v>
      </c>
    </row>
    <row r="8" spans="1:11">
      <c r="A8" s="34" t="s">
        <v>532</v>
      </c>
      <c r="B8" s="34">
        <f>COUNTA(_xlfn.UNIQUE('Final Project Dataset'!C2:C251))</f>
        <v>50</v>
      </c>
      <c r="D8" s="34" t="s">
        <v>507</v>
      </c>
      <c r="E8" s="34">
        <f>SUM(E3:E7)</f>
        <v>229192.47000000006</v>
      </c>
    </row>
    <row r="13" spans="1:11" ht="15.6">
      <c r="A13" s="127" t="s">
        <v>535</v>
      </c>
      <c r="B13" s="128"/>
      <c r="D13" s="127" t="s">
        <v>536</v>
      </c>
      <c r="E13" s="128"/>
      <c r="G13" s="127" t="s">
        <v>538</v>
      </c>
      <c r="H13" s="130"/>
    </row>
    <row r="15" spans="1:11">
      <c r="A15" s="106" t="s">
        <v>21</v>
      </c>
      <c r="B15" s="34">
        <f>COUNTIF('Final Project Dataset'!J2:J251,"Cash")</f>
        <v>76</v>
      </c>
      <c r="D15" s="34" t="s">
        <v>63</v>
      </c>
      <c r="E15" s="34">
        <f>SUMIF('Final Project Dataset'!F2:F251,"Laptop",'Final Project Dataset'!N2:N251)</f>
        <v>67499.25</v>
      </c>
      <c r="G15" s="106" t="s">
        <v>539</v>
      </c>
      <c r="H15" s="34" t="str">
        <f>INDEX(G3:G5,MATCH(MAX(H3:H5),H3:H5,0))</f>
        <v>Electronics</v>
      </c>
    </row>
    <row r="16" spans="1:11">
      <c r="A16" s="34" t="s">
        <v>27</v>
      </c>
      <c r="B16" s="34">
        <f>COUNTIF('Final Project Dataset'!J2:J251,"Credit Card")</f>
        <v>68</v>
      </c>
      <c r="D16" s="34" t="s">
        <v>82</v>
      </c>
      <c r="E16" s="34">
        <f>SUMIF('Final Project Dataset'!F2:F251,"Smartphone",'Final Project Dataset'!N2:N251)</f>
        <v>67199.039999999994</v>
      </c>
      <c r="G16" s="106" t="s">
        <v>540</v>
      </c>
      <c r="H16" s="34" t="str">
        <f>INDEX(D3:D7,MATCH(MAX(E3:E7),E3:E7,0))</f>
        <v>East</v>
      </c>
    </row>
    <row r="17" spans="1:8">
      <c r="A17" s="34" t="s">
        <v>58</v>
      </c>
      <c r="B17" s="34">
        <f>COUNTIF('Final Project Dataset'!J2:J251,"Debit Card")</f>
        <v>54</v>
      </c>
      <c r="D17" s="34" t="s">
        <v>54</v>
      </c>
      <c r="E17" s="34">
        <f>SUMIF('Final Project Dataset'!F2:F251,"Headphones",'Final Project Dataset'!N2:N251)</f>
        <v>7049.5299999999988</v>
      </c>
      <c r="G17" s="106" t="s">
        <v>541</v>
      </c>
      <c r="H17" s="34" t="str">
        <f>INDEX(J3:J5,MATCH(MAX(K3:K5),K3:K5,0))</f>
        <v>Premium</v>
      </c>
    </row>
    <row r="18" spans="1:8">
      <c r="A18" s="34" t="s">
        <v>35</v>
      </c>
      <c r="B18" s="34">
        <f>COUNTIF('Final Project Dataset'!J2:J251,"PayPal")</f>
        <v>52</v>
      </c>
      <c r="D18" s="34" t="s">
        <v>19</v>
      </c>
      <c r="E18" s="34">
        <f>SUMIF('Final Project Dataset'!F2:F251,"Monitor",'Final Project Dataset'!N2:N251)</f>
        <v>21999.119999999999</v>
      </c>
      <c r="G18" s="106" t="s">
        <v>542</v>
      </c>
      <c r="H18" s="34" t="str">
        <f>INDEX(A15:A18,MATCH(MAX(B15:B18),B15:B18,0))</f>
        <v>Cash</v>
      </c>
    </row>
    <row r="19" spans="1:8">
      <c r="D19" s="34" t="s">
        <v>119</v>
      </c>
      <c r="E19" s="34">
        <f>SUMIF('Final Project Dataset'!F2:F251,"Keyboard",'Final Project Dataset'!N2:N251)</f>
        <v>8009.1099999999969</v>
      </c>
      <c r="G19" s="106" t="s">
        <v>543</v>
      </c>
      <c r="H19" s="34" t="str">
        <f>INDEX(D15:D24,MATCH(MAX(E15:E24),E15:E24,0))</f>
        <v>Laptop</v>
      </c>
    </row>
    <row r="20" spans="1:8">
      <c r="D20" s="34" t="s">
        <v>116</v>
      </c>
      <c r="E20" s="34">
        <f>SUMIF('Final Project Dataset'!F2:F251,"Coffee Maker",'Final Project Dataset'!N2:N251)</f>
        <v>3119.6099999999992</v>
      </c>
      <c r="G20" s="106" t="s">
        <v>480</v>
      </c>
      <c r="H20" s="34">
        <f>B4</f>
        <v>229192.47000000032</v>
      </c>
    </row>
    <row r="21" spans="1:8">
      <c r="D21" s="34" t="s">
        <v>33</v>
      </c>
      <c r="E21" s="34">
        <f>SUMIF('Final Project Dataset'!F2:F251,"Blender",'Final Project Dataset'!N2:N251)</f>
        <v>5219.1299999999974</v>
      </c>
    </row>
    <row r="22" spans="1:8">
      <c r="D22" s="34" t="s">
        <v>128</v>
      </c>
      <c r="E22" s="34">
        <f>SUMIF('Final Project Dataset'!F2:F251,"Office Chair",'Final Project Dataset'!N2:N251)</f>
        <v>10399.479999999998</v>
      </c>
    </row>
    <row r="23" spans="1:8">
      <c r="D23" s="34" t="s">
        <v>107</v>
      </c>
      <c r="E23" s="34">
        <f>SUMIF('Final Project Dataset'!F2:F251,"Desk",'Final Project Dataset'!N2:N251)</f>
        <v>23399.22</v>
      </c>
    </row>
    <row r="24" spans="1:8">
      <c r="D24" s="34" t="s">
        <v>46</v>
      </c>
      <c r="E24" s="34">
        <f>SUMIF('Final Project Dataset'!F2:F251,"Bookshelf",'Final Project Dataset'!N2:N251)</f>
        <v>15298.979999999994</v>
      </c>
    </row>
    <row r="25" spans="1:8">
      <c r="D25" s="106" t="s">
        <v>537</v>
      </c>
      <c r="E25" s="34" t="str">
        <f>INDEX(D15:D24,MATCH(MAX(E15:E24),E15:E24,0))</f>
        <v>Laptop</v>
      </c>
    </row>
  </sheetData>
  <mergeCells count="7">
    <mergeCell ref="A1:B1"/>
    <mergeCell ref="D1:E1"/>
    <mergeCell ref="G1:H1"/>
    <mergeCell ref="J1:K1"/>
    <mergeCell ref="A13:B13"/>
    <mergeCell ref="D13:E13"/>
    <mergeCell ref="G13:H13"/>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10B41-4D44-45A0-8D01-448A48EB62A5}">
  <dimension ref="A1:P51"/>
  <sheetViews>
    <sheetView view="pageBreakPreview" zoomScale="60" zoomScaleNormal="85" workbookViewId="0"/>
  </sheetViews>
  <sheetFormatPr defaultRowHeight="14.4"/>
  <cols>
    <col min="1" max="1" width="13.21875" customWidth="1"/>
    <col min="2" max="2" width="17.5546875" customWidth="1"/>
    <col min="3" max="3" width="19" customWidth="1"/>
    <col min="4" max="4" width="16" customWidth="1"/>
    <col min="5" max="5" width="14.5546875" customWidth="1"/>
    <col min="6" max="6" width="16.109375" customWidth="1"/>
    <col min="7" max="7" width="15.33203125" customWidth="1"/>
    <col min="8" max="8" width="14.77734375" customWidth="1"/>
    <col min="9" max="9" width="21.21875" customWidth="1"/>
    <col min="11" max="11" width="25.5546875" customWidth="1"/>
    <col min="12" max="12" width="14.88671875" customWidth="1"/>
    <col min="15" max="15" width="17.6640625" customWidth="1"/>
    <col min="16" max="16" width="12.88671875" customWidth="1"/>
  </cols>
  <sheetData>
    <row r="1" spans="1:16">
      <c r="A1" s="107" t="s">
        <v>3</v>
      </c>
      <c r="B1" s="107" t="s">
        <v>4</v>
      </c>
      <c r="C1" s="107" t="s">
        <v>12</v>
      </c>
      <c r="D1" s="107" t="s">
        <v>545</v>
      </c>
      <c r="E1" s="107" t="s">
        <v>14</v>
      </c>
      <c r="F1" s="107" t="s">
        <v>546</v>
      </c>
      <c r="G1" s="107" t="s">
        <v>547</v>
      </c>
      <c r="H1" s="41" t="s">
        <v>548</v>
      </c>
      <c r="I1" s="107" t="s">
        <v>549</v>
      </c>
      <c r="K1" s="131" t="s">
        <v>550</v>
      </c>
      <c r="L1" s="131"/>
      <c r="N1" s="107" t="s">
        <v>559</v>
      </c>
      <c r="O1" s="107" t="s">
        <v>4</v>
      </c>
      <c r="P1" s="107" t="s">
        <v>14</v>
      </c>
    </row>
    <row r="2" spans="1:16">
      <c r="A2" s="34" t="str" cm="1">
        <f t="array" ref="A2">IFERROR(INDEX('Final Project Dataset'!C$2:C$251,MATCH(0,COUNTIF(A$1:A1,'Final Project Dataset'!C$2:C$251),0)),"")</f>
        <v>CUST023</v>
      </c>
      <c r="B2" s="34" t="str">
        <f>IF(A2="","",IFERROR(INDEX('Final Project Dataset'!D$2:D$251,MATCH(A2,'Final Project Dataset'!C$2:C$251,0)),""))</f>
        <v>Paul Baker</v>
      </c>
      <c r="C2" s="34" t="str">
        <f>IF(A2="","",IFERROR(INDEX('Final Project Dataset'!L$2:L$251,MATCH(A2,'Final Project Dataset'!C$2:C$251,0)),""))</f>
        <v>Basic</v>
      </c>
      <c r="D2" s="34">
        <f>IF(A2="","",COUNTIF('Final Project Dataset'!C$2:C$251,A2))</f>
        <v>8</v>
      </c>
      <c r="E2" s="34">
        <f>IF(A2="","",SUMIF('Final Project Dataset'!C$2:C$251,A2,'Final Project Dataset'!N$2:N$251))</f>
        <v>8309.739999999998</v>
      </c>
      <c r="F2" s="34">
        <f>IF(A2="","",AVERAGEIF('Final Project Dataset'!C$2:C$251,A2,'Final Project Dataset'!N$2:N$251))</f>
        <v>1038.7174999999997</v>
      </c>
      <c r="G2" s="34">
        <f>IF(A2="","",_xlfn.MAXIFS('Final Project Dataset'!N$2:N$251,'Final Project Dataset'!C$2:C$251,A2))</f>
        <v>4499.95</v>
      </c>
      <c r="H2" s="108">
        <f>IF(A2="","",_xlfn.MINIFS('Final Project Dataset'!N$2:N$251,'Final Project Dataset'!C$2:C$251,A2))</f>
        <v>179.98</v>
      </c>
      <c r="I2" s="37" t="str">
        <f>IF(A2="","",IF(E2&gt;=10000,"1️⃣ High Value",IF(E2&gt;=5000,"2️⃣ Medium Value","3️⃣ Low Value")))</f>
        <v>2️⃣ Medium Value</v>
      </c>
      <c r="K2" s="106" t="s">
        <v>532</v>
      </c>
      <c r="L2" s="34">
        <f>COUNTA(A2:A51)</f>
        <v>50</v>
      </c>
      <c r="N2" s="34">
        <v>1</v>
      </c>
      <c r="O2" s="34" t="str">
        <f>IFERROR(INDEX($B$2:$B$51,MATCH(LARGE($E$2:$E$51,N2),$E$2:$E$51,0)),"")</f>
        <v>Mark Carter</v>
      </c>
      <c r="P2" s="34">
        <f>IFERROR(LARGE($E$2:$E$51,N2),"")</f>
        <v>15659.65</v>
      </c>
    </row>
    <row r="3" spans="1:16">
      <c r="A3" s="34" t="str" cm="1">
        <f t="array" ref="A3">IFERROR(INDEX('Final Project Dataset'!C$2:C$251,MATCH(0,COUNTIF(A$1:A2,'Final Project Dataset'!C$2:C$251),0)),"")</f>
        <v>CUST013</v>
      </c>
      <c r="B3" s="34" t="str">
        <f>IF(A3="","",IFERROR(INDEX('Final Project Dataset'!D$2:D$251,MATCH(A3,'Final Project Dataset'!C$2:C$251,0)),""))</f>
        <v>Joseph Jackson</v>
      </c>
      <c r="C3" s="34" t="str">
        <f>IF(A3="","",IFERROR(INDEX('Final Project Dataset'!L$2:L$251,MATCH(A3,'Final Project Dataset'!C$2:C$251,0)),""))</f>
        <v>Premium</v>
      </c>
      <c r="D3" s="34">
        <f>IF(A3="","",COUNTIF('Final Project Dataset'!C$2:C$251,A3))</f>
        <v>5</v>
      </c>
      <c r="E3" s="34">
        <f>IF(A3="","",SUMIF('Final Project Dataset'!C$2:C$251,A3,'Final Project Dataset'!N$2:N$251))</f>
        <v>6949.84</v>
      </c>
      <c r="F3" s="34">
        <f>IF(A3="","",AVERAGEIF('Final Project Dataset'!C$2:C$251,A3,'Final Project Dataset'!N$2:N$251))</f>
        <v>1389.9680000000001</v>
      </c>
      <c r="G3" s="34">
        <f>IF(A3="","",_xlfn.MAXIFS('Final Project Dataset'!N$2:N$251,'Final Project Dataset'!C$2:C$251,A3))</f>
        <v>4499.95</v>
      </c>
      <c r="H3" s="108">
        <f>IF(A3="","",_xlfn.MINIFS('Final Project Dataset'!N$2:N$251,'Final Project Dataset'!C$2:C$251,A3))</f>
        <v>149.99</v>
      </c>
      <c r="I3" s="37" t="str">
        <f t="shared" ref="I3:I51" si="0">IF(A3="","",IF(E3&gt;=10000,"1️⃣ High Value",IF(E3&gt;=5000,"2️⃣ Medium Value","3️⃣ Low Value")))</f>
        <v>2️⃣ Medium Value</v>
      </c>
      <c r="K3" s="106" t="s">
        <v>551</v>
      </c>
      <c r="L3" s="34">
        <f>COUNTIF(I2:I51,"1️⃣ High Value")</f>
        <v>3</v>
      </c>
      <c r="N3" s="34">
        <v>2</v>
      </c>
      <c r="O3" s="34" t="str">
        <f t="shared" ref="O3:O11" si="1">IFERROR(INDEX($B$2:$B$51,MATCH(LARGE($E$2:$E$51,N3),$E$2:$E$51,0)),"")</f>
        <v>Edward Mitchell</v>
      </c>
      <c r="P3" s="34">
        <f t="shared" ref="P3:P11" si="2">IFERROR(LARGE($E$2:$E$51,N3),"")</f>
        <v>11919.769999999999</v>
      </c>
    </row>
    <row r="4" spans="1:16">
      <c r="A4" s="34" t="str">
        <f t="array" ref="A4">IFERROR(INDEX('Final Project Dataset'!C$2:C$251,MATCH(0,COUNTIF(A$1:A3,'Final Project Dataset'!C$2:C$251),0)),"")</f>
        <v>CUST021</v>
      </c>
      <c r="B4" s="34" t="str">
        <f>IF(A4="","",IFERROR(INDEX('Final Project Dataset'!D$2:D$251,MATCH(A4,'Final Project Dataset'!C$2:C$251,0)),""))</f>
        <v>Kevin Scott</v>
      </c>
      <c r="C4" s="34" t="str">
        <f>IF(A4="","",IFERROR(INDEX('Final Project Dataset'!L$2:L$251,MATCH(A4,'Final Project Dataset'!C$2:C$251,0)),""))</f>
        <v>Standard</v>
      </c>
      <c r="D4" s="34">
        <f>IF(A4="","",COUNTIF('Final Project Dataset'!C$2:C$251,A4))</f>
        <v>6</v>
      </c>
      <c r="E4" s="34">
        <f>IF(A4="","",SUMIF('Final Project Dataset'!C$2:C$251,A4,'Final Project Dataset'!N$2:N$251))</f>
        <v>3259.87</v>
      </c>
      <c r="F4" s="34">
        <f>IF(A4="","",AVERAGEIF('Final Project Dataset'!C$2:C$251,A4,'Final Project Dataset'!N$2:N$251))</f>
        <v>543.31166666666661</v>
      </c>
      <c r="G4" s="34">
        <f>IF(A4="","",_xlfn.MAXIFS('Final Project Dataset'!N$2:N$251,'Final Project Dataset'!C$2:C$251,A4))</f>
        <v>899.99</v>
      </c>
      <c r="H4" s="108">
        <f>IF(A4="","",_xlfn.MINIFS('Final Project Dataset'!N$2:N$251,'Final Project Dataset'!C$2:C$251,A4))</f>
        <v>79.989999999999995</v>
      </c>
      <c r="I4" s="37" t="str">
        <f t="shared" si="0"/>
        <v>3️⃣ Low Value</v>
      </c>
      <c r="K4" s="106" t="s">
        <v>552</v>
      </c>
      <c r="L4" s="34">
        <f>COUNTIF(I2:I51,"2️⃣ Medium Value")</f>
        <v>17</v>
      </c>
      <c r="N4" s="34">
        <v>3</v>
      </c>
      <c r="O4" s="34" t="str">
        <f t="shared" si="1"/>
        <v>Barbara Young</v>
      </c>
      <c r="P4" s="34">
        <f t="shared" si="2"/>
        <v>10649.8</v>
      </c>
    </row>
    <row r="5" spans="1:16">
      <c r="A5" s="34" t="str">
        <f t="array" ref="A5">IFERROR(INDEX('Final Project Dataset'!C$2:C$251,MATCH(0,COUNTIF(A$1:A4,'Final Project Dataset'!C$2:C$251),0)),"")</f>
        <v>CUST046</v>
      </c>
      <c r="B5" s="34" t="str">
        <f>IF(A5="","",IFERROR(INDEX('Final Project Dataset'!D$2:D$251,MATCH(A5,'Final Project Dataset'!C$2:C$251,0)),""))</f>
        <v>Kathleen Bennett</v>
      </c>
      <c r="C5" s="34" t="str">
        <f>IF(A5="","",IFERROR(INDEX('Final Project Dataset'!L$2:L$251,MATCH(A5,'Final Project Dataset'!C$2:C$251,0)),""))</f>
        <v>Premium</v>
      </c>
      <c r="D5" s="34">
        <f>IF(A5="","",COUNTIF('Final Project Dataset'!C$2:C$251,A5))</f>
        <v>6</v>
      </c>
      <c r="E5" s="34">
        <f>IF(A5="","",SUMIF('Final Project Dataset'!C$2:C$251,A5,'Final Project Dataset'!N$2:N$251))</f>
        <v>4309.8099999999995</v>
      </c>
      <c r="F5" s="34">
        <f>IF(A5="","",AVERAGEIF('Final Project Dataset'!C$2:C$251,A5,'Final Project Dataset'!N$2:N$251))</f>
        <v>718.30166666666662</v>
      </c>
      <c r="G5" s="34">
        <f>IF(A5="","",_xlfn.MAXIFS('Final Project Dataset'!N$2:N$251,'Final Project Dataset'!C$2:C$251,A5))</f>
        <v>2099.9699999999998</v>
      </c>
      <c r="H5" s="108">
        <f>IF(A5="","",_xlfn.MINIFS('Final Project Dataset'!N$2:N$251,'Final Project Dataset'!C$2:C$251,A5))</f>
        <v>179.97</v>
      </c>
      <c r="I5" s="37" t="str">
        <f t="shared" si="0"/>
        <v>3️⃣ Low Value</v>
      </c>
      <c r="K5" s="106" t="s">
        <v>553</v>
      </c>
      <c r="L5" s="34">
        <f>COUNTIF(I2:I51,"3️⃣ Low Value")</f>
        <v>30</v>
      </c>
      <c r="N5" s="34">
        <v>4</v>
      </c>
      <c r="O5" s="34" t="str">
        <f t="shared" si="1"/>
        <v>Patricia Moore</v>
      </c>
      <c r="P5" s="34">
        <f t="shared" si="2"/>
        <v>9799.73</v>
      </c>
    </row>
    <row r="6" spans="1:16">
      <c r="A6" s="34" t="str">
        <f t="array" ref="A6">IFERROR(INDEX('Final Project Dataset'!C$2:C$251,MATCH(0,COUNTIF(A$1:A5,'Final Project Dataset'!C$2:C$251),0)),"")</f>
        <v>CUST003</v>
      </c>
      <c r="B6" s="34" t="str">
        <f>IF(A6="","",IFERROR(INDEX('Final Project Dataset'!D$2:D$251,MATCH(A6,'Final Project Dataset'!C$2:C$251,0)),""))</f>
        <v>Michael Brown</v>
      </c>
      <c r="C6" s="34" t="str">
        <f>IF(A6="","",IFERROR(INDEX('Final Project Dataset'!L$2:L$251,MATCH(A6,'Final Project Dataset'!C$2:C$251,0)),""))</f>
        <v>Premium</v>
      </c>
      <c r="D6" s="34">
        <f>IF(A6="","",COUNTIF('Final Project Dataset'!C$2:C$251,A6))</f>
        <v>9</v>
      </c>
      <c r="E6" s="34">
        <f>IF(A6="","",SUMIF('Final Project Dataset'!C$2:C$251,A6,'Final Project Dataset'!N$2:N$251))</f>
        <v>6169.7400000000007</v>
      </c>
      <c r="F6" s="34">
        <f>IF(A6="","",AVERAGEIF('Final Project Dataset'!C$2:C$251,A6,'Final Project Dataset'!N$2:N$251))</f>
        <v>685.52666666666676</v>
      </c>
      <c r="G6" s="34">
        <f>IF(A6="","",_xlfn.MAXIFS('Final Project Dataset'!N$2:N$251,'Final Project Dataset'!C$2:C$251,A6))</f>
        <v>1399.98</v>
      </c>
      <c r="H6" s="108">
        <f>IF(A6="","",_xlfn.MINIFS('Final Project Dataset'!N$2:N$251,'Final Project Dataset'!C$2:C$251,A6))</f>
        <v>269.97000000000003</v>
      </c>
      <c r="I6" s="37" t="str">
        <f>IF(A6="","",IF(E6&gt;=10000,"1️⃣ High Value",IF(E6&gt;=5000,"2️⃣ Medium Value","3️⃣ Low Value")))</f>
        <v>2️⃣ Medium Value</v>
      </c>
      <c r="K6" s="106" t="s">
        <v>480</v>
      </c>
      <c r="L6" s="34">
        <f>SUM(E2:E51)</f>
        <v>229192.46999999986</v>
      </c>
      <c r="N6" s="34">
        <v>5</v>
      </c>
      <c r="O6" s="34" t="str">
        <f t="shared" si="1"/>
        <v>Paul Baker</v>
      </c>
      <c r="P6" s="34">
        <f t="shared" si="2"/>
        <v>8309.739999999998</v>
      </c>
    </row>
    <row r="7" spans="1:16">
      <c r="A7" s="34" t="str">
        <f t="array" ref="A7">IFERROR(INDEX('Final Project Dataset'!C$2:C$251,MATCH(0,COUNTIF(A$1:A6,'Final Project Dataset'!C$2:C$251),0)),"")</f>
        <v>CUST024</v>
      </c>
      <c r="B7" s="34" t="str">
        <f>IF(A7="","",IFERROR(INDEX('Final Project Dataset'!D$2:D$251,MATCH(A7,'Final Project Dataset'!C$2:C$251,0)),""))</f>
        <v>Dorothy Nelson</v>
      </c>
      <c r="C7" s="34" t="str">
        <f>IF(A7="","",IFERROR(INDEX('Final Project Dataset'!L$2:L$251,MATCH(A7,'Final Project Dataset'!C$2:C$251,0)),""))</f>
        <v>Standard</v>
      </c>
      <c r="D7" s="34">
        <f>IF(A7="","",COUNTIF('Final Project Dataset'!C$2:C$251,A7))</f>
        <v>6</v>
      </c>
      <c r="E7" s="34">
        <f>IF(A7="","",SUMIF('Final Project Dataset'!C$2:C$251,A7,'Final Project Dataset'!N$2:N$251))</f>
        <v>8269.7900000000009</v>
      </c>
      <c r="F7" s="34">
        <f>IF(A7="","",AVERAGEIF('Final Project Dataset'!C$2:C$251,A7,'Final Project Dataset'!N$2:N$251))</f>
        <v>1378.2983333333334</v>
      </c>
      <c r="G7" s="34">
        <f>IF(A7="","",_xlfn.MAXIFS('Final Project Dataset'!N$2:N$251,'Final Project Dataset'!C$2:C$251,A7))</f>
        <v>2799.96</v>
      </c>
      <c r="H7" s="108">
        <f>IF(A7="","",_xlfn.MINIFS('Final Project Dataset'!N$2:N$251,'Final Project Dataset'!C$2:C$251,A7))</f>
        <v>119.98</v>
      </c>
      <c r="I7" s="37" t="str">
        <f t="shared" si="0"/>
        <v>2️⃣ Medium Value</v>
      </c>
      <c r="K7" s="106" t="s">
        <v>554</v>
      </c>
      <c r="L7" s="34">
        <f>AVERAGE(E2:E51)</f>
        <v>4583.8493999999973</v>
      </c>
      <c r="N7" s="34">
        <v>6</v>
      </c>
      <c r="O7" s="34" t="str">
        <f t="shared" si="1"/>
        <v>Dorothy Nelson</v>
      </c>
      <c r="P7" s="34">
        <f t="shared" si="2"/>
        <v>8269.7900000000009</v>
      </c>
    </row>
    <row r="8" spans="1:16">
      <c r="A8" s="34" t="str">
        <f t="array" ref="A8">IFERROR(INDEX('Final Project Dataset'!C$2:C$251,MATCH(0,COUNTIF(A$1:A7,'Final Project Dataset'!C$2:C$251),0)),"")</f>
        <v>CUST017</v>
      </c>
      <c r="B8" s="34" t="str">
        <f>IF(A8="","",IFERROR(INDEX('Final Project Dataset'!D$2:D$251,MATCH(A8,'Final Project Dataset'!C$2:C$251,0)),""))</f>
        <v>Charles Allen</v>
      </c>
      <c r="C8" s="34" t="str">
        <f>IF(A8="","",IFERROR(INDEX('Final Project Dataset'!L$2:L$251,MATCH(A8,'Final Project Dataset'!C$2:C$251,0)),""))</f>
        <v>Basic</v>
      </c>
      <c r="D8" s="34">
        <f>IF(A8="","",COUNTIF('Final Project Dataset'!C$2:C$251,A8))</f>
        <v>9</v>
      </c>
      <c r="E8" s="34">
        <f>IF(A8="","",SUMIF('Final Project Dataset'!C$2:C$251,A8,'Final Project Dataset'!N$2:N$251))</f>
        <v>5089.7300000000005</v>
      </c>
      <c r="F8" s="34">
        <f>IF(A8="","",AVERAGEIF('Final Project Dataset'!C$2:C$251,A8,'Final Project Dataset'!N$2:N$251))</f>
        <v>565.52555555555557</v>
      </c>
      <c r="G8" s="34">
        <f>IF(A8="","",_xlfn.MAXIFS('Final Project Dataset'!N$2:N$251,'Final Project Dataset'!C$2:C$251,A8))</f>
        <v>1499.95</v>
      </c>
      <c r="H8" s="108">
        <f>IF(A8="","",_xlfn.MINIFS('Final Project Dataset'!N$2:N$251,'Final Project Dataset'!C$2:C$251,A8))</f>
        <v>79.989999999999995</v>
      </c>
      <c r="I8" s="37" t="str">
        <f t="shared" si="0"/>
        <v>2️⃣ Medium Value</v>
      </c>
      <c r="K8" s="106" t="s">
        <v>555</v>
      </c>
      <c r="L8" s="34" t="str">
        <f>INDEX(B2:B51,MATCH(MAX(E2:E51),E2:E51,0))</f>
        <v>Mark Carter</v>
      </c>
      <c r="N8" s="34">
        <v>7</v>
      </c>
      <c r="O8" s="34" t="str">
        <f t="shared" si="1"/>
        <v>Karen Hill</v>
      </c>
      <c r="P8" s="34">
        <f t="shared" si="2"/>
        <v>8009.7699999999995</v>
      </c>
    </row>
    <row r="9" spans="1:16">
      <c r="A9" s="34" t="str">
        <f t="array" ref="A9">IFERROR(INDEX('Final Project Dataset'!C$2:C$251,MATCH(0,COUNTIF(A$1:A8,'Final Project Dataset'!C$2:C$251),0)),"")</f>
        <v>CUST009</v>
      </c>
      <c r="B9" s="34" t="str">
        <f>IF(A9="","",IFERROR(INDEX('Final Project Dataset'!D$2:D$251,MATCH(A9,'Final Project Dataset'!C$2:C$251,0)),""))</f>
        <v>Robert Thomas</v>
      </c>
      <c r="C9" s="34" t="str">
        <f>IF(A9="","",IFERROR(INDEX('Final Project Dataset'!L$2:L$251,MATCH(A9,'Final Project Dataset'!C$2:C$251,0)),""))</f>
        <v>Standard</v>
      </c>
      <c r="D9" s="34">
        <f>IF(A9="","",COUNTIF('Final Project Dataset'!C$2:C$251,A9))</f>
        <v>5</v>
      </c>
      <c r="E9" s="34">
        <f>IF(A9="","",SUMIF('Final Project Dataset'!C$2:C$251,A9,'Final Project Dataset'!N$2:N$251))</f>
        <v>3509.8999999999996</v>
      </c>
      <c r="F9" s="34">
        <f>IF(A9="","",AVERAGEIF('Final Project Dataset'!C$2:C$251,A9,'Final Project Dataset'!N$2:N$251))</f>
        <v>701.9799999999999</v>
      </c>
      <c r="G9" s="34">
        <f>IF(A9="","",_xlfn.MAXIFS('Final Project Dataset'!N$2:N$251,'Final Project Dataset'!C$2:C$251,A9))</f>
        <v>2699.97</v>
      </c>
      <c r="H9" s="108">
        <f>IF(A9="","",_xlfn.MINIFS('Final Project Dataset'!N$2:N$251,'Final Project Dataset'!C$2:C$251,A9))</f>
        <v>89.99</v>
      </c>
      <c r="I9" s="37" t="str">
        <f t="shared" si="0"/>
        <v>3️⃣ Low Value</v>
      </c>
      <c r="K9" s="106" t="s">
        <v>556</v>
      </c>
      <c r="L9" s="34">
        <f>MAX(E2:E51)</f>
        <v>15659.65</v>
      </c>
      <c r="N9" s="34">
        <v>8</v>
      </c>
      <c r="O9" s="34" t="str">
        <f t="shared" si="1"/>
        <v>Daniel King</v>
      </c>
      <c r="P9" s="34">
        <f t="shared" si="2"/>
        <v>7309.7999999999993</v>
      </c>
    </row>
    <row r="10" spans="1:16">
      <c r="A10" s="34" t="str">
        <f t="array" ref="A10">IFERROR(INDEX('Final Project Dataset'!C$2:C$251,MATCH(0,COUNTIF(A$1:A9,'Final Project Dataset'!C$2:C$251),0)),"")</f>
        <v>CUST026</v>
      </c>
      <c r="B10" s="34" t="str">
        <f>IF(A10="","",IFERROR(INDEX('Final Project Dataset'!D$2:D$251,MATCH(A10,'Final Project Dataset'!C$2:C$251,0)),""))</f>
        <v>Karen Hill</v>
      </c>
      <c r="C10" s="34" t="str">
        <f>IF(A10="","",IFERROR(INDEX('Final Project Dataset'!L$2:L$251,MATCH(A10,'Final Project Dataset'!C$2:C$251,0)),""))</f>
        <v>Premium</v>
      </c>
      <c r="D10" s="34">
        <f>IF(A10="","",COUNTIF('Final Project Dataset'!C$2:C$251,A10))</f>
        <v>8</v>
      </c>
      <c r="E10" s="34">
        <f>IF(A10="","",SUMIF('Final Project Dataset'!C$2:C$251,A10,'Final Project Dataset'!N$2:N$251))</f>
        <v>8009.7699999999995</v>
      </c>
      <c r="F10" s="34">
        <f>IF(A10="","",AVERAGEIF('Final Project Dataset'!C$2:C$251,A10,'Final Project Dataset'!N$2:N$251))</f>
        <v>1001.2212499999999</v>
      </c>
      <c r="G10" s="34">
        <f>IF(A10="","",_xlfn.MAXIFS('Final Project Dataset'!N$2:N$251,'Final Project Dataset'!C$2:C$251,A10))</f>
        <v>2799.96</v>
      </c>
      <c r="H10" s="108">
        <f>IF(A10="","",_xlfn.MINIFS('Final Project Dataset'!N$2:N$251,'Final Project Dataset'!C$2:C$251,A10))</f>
        <v>179.97</v>
      </c>
      <c r="I10" s="37" t="str">
        <f t="shared" si="0"/>
        <v>2️⃣ Medium Value</v>
      </c>
      <c r="K10" s="106" t="s">
        <v>557</v>
      </c>
      <c r="L10" s="34" t="str">
        <f>INDEX(B2:B51,MATCH(MIN(E2:E51),E2:E51,0))</f>
        <v>James Johnson</v>
      </c>
      <c r="N10" s="34">
        <v>9</v>
      </c>
      <c r="O10" s="34" t="str">
        <f t="shared" si="1"/>
        <v>Lawrence Reed</v>
      </c>
      <c r="P10" s="34">
        <f t="shared" si="2"/>
        <v>6989.7699999999986</v>
      </c>
    </row>
    <row r="11" spans="1:16">
      <c r="A11" s="34" t="str">
        <f t="array" ref="A11">IFERROR(INDEX('Final Project Dataset'!C$2:C$251,MATCH(0,COUNTIF(A$1:A10,'Final Project Dataset'!C$2:C$251),0)),"")</f>
        <v>CUST022</v>
      </c>
      <c r="B11" s="34" t="str">
        <f>IF(A11="","",IFERROR(INDEX('Final Project Dataset'!D$2:D$251,MATCH(A11,'Final Project Dataset'!C$2:C$251,0)),""))</f>
        <v>Susan Green</v>
      </c>
      <c r="C11" s="34" t="str">
        <f>IF(A11="","",IFERROR(INDEX('Final Project Dataset'!L$2:L$251,MATCH(A11,'Final Project Dataset'!C$2:C$251,0)),""))</f>
        <v>Standard</v>
      </c>
      <c r="D11" s="34">
        <f>IF(A11="","",COUNTIF('Final Project Dataset'!C$2:C$251,A11))</f>
        <v>4</v>
      </c>
      <c r="E11" s="34">
        <f>IF(A11="","",SUMIF('Final Project Dataset'!C$2:C$251,A11,'Final Project Dataset'!N$2:N$251))</f>
        <v>1979.89</v>
      </c>
      <c r="F11" s="34">
        <f>IF(A11="","",AVERAGEIF('Final Project Dataset'!C$2:C$251,A11,'Final Project Dataset'!N$2:N$251))</f>
        <v>494.97250000000003</v>
      </c>
      <c r="G11" s="34">
        <f>IF(A11="","",_xlfn.MAXIFS('Final Project Dataset'!N$2:N$251,'Final Project Dataset'!C$2:C$251,A11))</f>
        <v>1499.95</v>
      </c>
      <c r="H11" s="108">
        <f>IF(A11="","",_xlfn.MINIFS('Final Project Dataset'!N$2:N$251,'Final Project Dataset'!C$2:C$251,A11))</f>
        <v>89.99</v>
      </c>
      <c r="I11" s="37" t="str">
        <f t="shared" si="0"/>
        <v>3️⃣ Low Value</v>
      </c>
      <c r="K11" s="106" t="s">
        <v>558</v>
      </c>
      <c r="L11" s="34">
        <f>MIN(E2:E51)</f>
        <v>179.97</v>
      </c>
      <c r="N11" s="34">
        <v>10</v>
      </c>
      <c r="O11" s="34" t="str">
        <f t="shared" si="1"/>
        <v>Joseph Jackson</v>
      </c>
      <c r="P11" s="34">
        <f t="shared" si="2"/>
        <v>6949.84</v>
      </c>
    </row>
    <row r="12" spans="1:16">
      <c r="A12" s="34" t="str">
        <f t="array" ref="A12">IFERROR(INDEX('Final Project Dataset'!C$2:C$251,MATCH(0,COUNTIF(A$1:A11,'Final Project Dataset'!C$2:C$251),0)),"")</f>
        <v>CUST041</v>
      </c>
      <c r="B12" s="34" t="str">
        <f>IF(A12="","",IFERROR(INDEX('Final Project Dataset'!D$2:D$251,MATCH(A12,'Final Project Dataset'!C$2:C$251,0)),""))</f>
        <v>Peter Richardson</v>
      </c>
      <c r="C12" s="34" t="str">
        <f>IF(A12="","",IFERROR(INDEX('Final Project Dataset'!L$2:L$251,MATCH(A12,'Final Project Dataset'!C$2:C$251,0)),""))</f>
        <v>Premium</v>
      </c>
      <c r="D12" s="34">
        <f>IF(A12="","",COUNTIF('Final Project Dataset'!C$2:C$251,A12))</f>
        <v>5</v>
      </c>
      <c r="E12" s="34">
        <f>IF(A12="","",SUMIF('Final Project Dataset'!C$2:C$251,A12,'Final Project Dataset'!N$2:N$251))</f>
        <v>5949.85</v>
      </c>
      <c r="F12" s="34">
        <f>IF(A12="","",AVERAGEIF('Final Project Dataset'!C$2:C$251,A12,'Final Project Dataset'!N$2:N$251))</f>
        <v>1189.97</v>
      </c>
      <c r="G12" s="34">
        <f>IF(A12="","",_xlfn.MAXIFS('Final Project Dataset'!N$2:N$251,'Final Project Dataset'!C$2:C$251,A12))</f>
        <v>2799.96</v>
      </c>
      <c r="H12" s="108">
        <f>IF(A12="","",_xlfn.MINIFS('Final Project Dataset'!N$2:N$251,'Final Project Dataset'!C$2:C$251,A12))</f>
        <v>449.97</v>
      </c>
      <c r="I12" s="37" t="str">
        <f t="shared" si="0"/>
        <v>2️⃣ Medium Value</v>
      </c>
    </row>
    <row r="13" spans="1:16">
      <c r="A13" s="34" t="str">
        <f t="array" ref="A13">IFERROR(INDEX('Final Project Dataset'!C$2:C$251,MATCH(0,COUNTIF(A$1:A12,'Final Project Dataset'!C$2:C$251),0)),"")</f>
        <v>CUST043</v>
      </c>
      <c r="B13" s="34" t="str">
        <f>IF(A13="","",IFERROR(INDEX('Final Project Dataset'!D$2:D$251,MATCH(A13,'Final Project Dataset'!C$2:C$251,0)),""))</f>
        <v>Dennis Gray</v>
      </c>
      <c r="C13" s="34" t="str">
        <f>IF(A13="","",IFERROR(INDEX('Final Project Dataset'!L$2:L$251,MATCH(A13,'Final Project Dataset'!C$2:C$251,0)),""))</f>
        <v>Standard</v>
      </c>
      <c r="D13" s="34">
        <f>IF(A13="","",COUNTIF('Final Project Dataset'!C$2:C$251,A13))</f>
        <v>2</v>
      </c>
      <c r="E13" s="34">
        <f>IF(A13="","",SUMIF('Final Project Dataset'!C$2:C$251,A13,'Final Project Dataset'!N$2:N$251))</f>
        <v>479.91999999999996</v>
      </c>
      <c r="F13" s="34">
        <f>IF(A13="","",AVERAGEIF('Final Project Dataset'!C$2:C$251,A13,'Final Project Dataset'!N$2:N$251))</f>
        <v>239.95999999999998</v>
      </c>
      <c r="G13" s="34">
        <f>IF(A13="","",_xlfn.MAXIFS('Final Project Dataset'!N$2:N$251,'Final Project Dataset'!C$2:C$251,A13))</f>
        <v>299.95</v>
      </c>
      <c r="H13" s="108">
        <f>IF(A13="","",_xlfn.MINIFS('Final Project Dataset'!N$2:N$251,'Final Project Dataset'!C$2:C$251,A13))</f>
        <v>179.97</v>
      </c>
      <c r="I13" s="37" t="str">
        <f t="shared" si="0"/>
        <v>3️⃣ Low Value</v>
      </c>
    </row>
    <row r="14" spans="1:16">
      <c r="A14" s="34" t="str">
        <f t="array" ref="A14">IFERROR(INDEX('Final Project Dataset'!C$2:C$251,MATCH(0,COUNTIF(A$1:A13,'Final Project Dataset'!C$2:C$251),0)),"")</f>
        <v>CUST038</v>
      </c>
      <c r="B14" s="34" t="str">
        <f>IF(A14="","",IFERROR(INDEX('Final Project Dataset'!D$2:D$251,MATCH(A14,'Final Project Dataset'!C$2:C$251,0)),""))</f>
        <v>Michelle Rogers</v>
      </c>
      <c r="C14" s="34" t="str">
        <f>IF(A14="","",IFERROR(INDEX('Final Project Dataset'!L$2:L$251,MATCH(A14,'Final Project Dataset'!C$2:C$251,0)),""))</f>
        <v>Basic</v>
      </c>
      <c r="D14" s="34">
        <f>IF(A14="","",COUNTIF('Final Project Dataset'!C$2:C$251,A14))</f>
        <v>2</v>
      </c>
      <c r="E14" s="34">
        <f>IF(A14="","",SUMIF('Final Project Dataset'!C$2:C$251,A14,'Final Project Dataset'!N$2:N$251))</f>
        <v>4199.9399999999996</v>
      </c>
      <c r="F14" s="34">
        <f>IF(A14="","",AVERAGEIF('Final Project Dataset'!C$2:C$251,A14,'Final Project Dataset'!N$2:N$251))</f>
        <v>2099.9699999999998</v>
      </c>
      <c r="G14" s="34">
        <f>IF(A14="","",_xlfn.MAXIFS('Final Project Dataset'!N$2:N$251,'Final Project Dataset'!C$2:C$251,A14))</f>
        <v>2099.9699999999998</v>
      </c>
      <c r="H14" s="108">
        <f>IF(A14="","",_xlfn.MINIFS('Final Project Dataset'!N$2:N$251,'Final Project Dataset'!C$2:C$251,A14))</f>
        <v>2099.9699999999998</v>
      </c>
      <c r="I14" s="37" t="str">
        <f t="shared" si="0"/>
        <v>3️⃣ Low Value</v>
      </c>
    </row>
    <row r="15" spans="1:16">
      <c r="A15" s="34" t="str">
        <f t="array" ref="A15">IFERROR(INDEX('Final Project Dataset'!C$2:C$251,MATCH(0,COUNTIF(A$1:A14,'Final Project Dataset'!C$2:C$251),0)),"")</f>
        <v>CUST027</v>
      </c>
      <c r="B15" s="34" t="str">
        <f>IF(A15="","",IFERROR(INDEX('Final Project Dataset'!D$2:D$251,MATCH(A15,'Final Project Dataset'!C$2:C$251,0)),""))</f>
        <v>George Adams</v>
      </c>
      <c r="C15" s="34" t="str">
        <f>IF(A15="","",IFERROR(INDEX('Final Project Dataset'!L$2:L$251,MATCH(A15,'Final Project Dataset'!C$2:C$251,0)),""))</f>
        <v>Standard</v>
      </c>
      <c r="D15" s="34">
        <f>IF(A15="","",COUNTIF('Final Project Dataset'!C$2:C$251,A15))</f>
        <v>3</v>
      </c>
      <c r="E15" s="34">
        <f>IF(A15="","",SUMIF('Final Project Dataset'!C$2:C$251,A15,'Final Project Dataset'!N$2:N$251))</f>
        <v>3779.93</v>
      </c>
      <c r="F15" s="34">
        <f>IF(A15="","",AVERAGEIF('Final Project Dataset'!C$2:C$251,A15,'Final Project Dataset'!N$2:N$251))</f>
        <v>1259.9766666666667</v>
      </c>
      <c r="G15" s="34">
        <f>IF(A15="","",_xlfn.MAXIFS('Final Project Dataset'!N$2:N$251,'Final Project Dataset'!C$2:C$251,A15))</f>
        <v>2699.97</v>
      </c>
      <c r="H15" s="108">
        <f>IF(A15="","",_xlfn.MINIFS('Final Project Dataset'!N$2:N$251,'Final Project Dataset'!C$2:C$251,A15))</f>
        <v>179.97</v>
      </c>
      <c r="I15" s="37" t="str">
        <f t="shared" si="0"/>
        <v>3️⃣ Low Value</v>
      </c>
    </row>
    <row r="16" spans="1:16">
      <c r="A16" s="34" t="str">
        <f t="array" ref="A16">IFERROR(INDEX('Final Project Dataset'!C$2:C$251,MATCH(0,COUNTIF(A$1:A15,'Final Project Dataset'!C$2:C$251),0)),"")</f>
        <v>CUST025</v>
      </c>
      <c r="B16" s="34" t="str">
        <f>IF(A16="","",IFERROR(INDEX('Final Project Dataset'!D$2:D$251,MATCH(A16,'Final Project Dataset'!C$2:C$251,0)),""))</f>
        <v>Mark Carter</v>
      </c>
      <c r="C16" s="34" t="str">
        <f>IF(A16="","",IFERROR(INDEX('Final Project Dataset'!L$2:L$251,MATCH(A16,'Final Project Dataset'!C$2:C$251,0)),""))</f>
        <v>Premium</v>
      </c>
      <c r="D16" s="34">
        <f>IF(A16="","",COUNTIF('Final Project Dataset'!C$2:C$251,A16))</f>
        <v>12</v>
      </c>
      <c r="E16" s="34">
        <f>IF(A16="","",SUMIF('Final Project Dataset'!C$2:C$251,A16,'Final Project Dataset'!N$2:N$251))</f>
        <v>15659.65</v>
      </c>
      <c r="F16" s="34">
        <f>IF(A16="","",AVERAGEIF('Final Project Dataset'!C$2:C$251,A16,'Final Project Dataset'!N$2:N$251))</f>
        <v>1304.9708333333333</v>
      </c>
      <c r="G16" s="34">
        <f>IF(A16="","",_xlfn.MAXIFS('Final Project Dataset'!N$2:N$251,'Final Project Dataset'!C$2:C$251,A16))</f>
        <v>3599.96</v>
      </c>
      <c r="H16" s="108">
        <f>IF(A16="","",_xlfn.MINIFS('Final Project Dataset'!N$2:N$251,'Final Project Dataset'!C$2:C$251,A16))</f>
        <v>179.98</v>
      </c>
      <c r="I16" s="37" t="str">
        <f t="shared" si="0"/>
        <v>1️⃣ High Value</v>
      </c>
    </row>
    <row r="17" spans="1:9">
      <c r="A17" s="34" t="str">
        <f t="array" ref="A17">IFERROR(INDEX('Final Project Dataset'!C$2:C$251,MATCH(0,COUNTIF(A$1:A16,'Final Project Dataset'!C$2:C$251),0)),"")</f>
        <v>CUST010</v>
      </c>
      <c r="B17" s="34" t="str">
        <f>IF(A17="","",IFERROR(INDEX('Final Project Dataset'!D$2:D$251,MATCH(A17,'Final Project Dataset'!C$2:C$251,0)),""))</f>
        <v>Maria Garcia</v>
      </c>
      <c r="C17" s="34" t="str">
        <f>IF(A17="","",IFERROR(INDEX('Final Project Dataset'!L$2:L$251,MATCH(A17,'Final Project Dataset'!C$2:C$251,0)),""))</f>
        <v>Basic</v>
      </c>
      <c r="D17" s="34">
        <f>IF(A17="","",COUNTIF('Final Project Dataset'!C$2:C$251,A17))</f>
        <v>4</v>
      </c>
      <c r="E17" s="34">
        <f>IF(A17="","",SUMIF('Final Project Dataset'!C$2:C$251,A17,'Final Project Dataset'!N$2:N$251))</f>
        <v>1909.93</v>
      </c>
      <c r="F17" s="34">
        <f>IF(A17="","",AVERAGEIF('Final Project Dataset'!C$2:C$251,A17,'Final Project Dataset'!N$2:N$251))</f>
        <v>477.48250000000002</v>
      </c>
      <c r="G17" s="34">
        <f>IF(A17="","",_xlfn.MAXIFS('Final Project Dataset'!N$2:N$251,'Final Project Dataset'!C$2:C$251,A17))</f>
        <v>1399.98</v>
      </c>
      <c r="H17" s="108">
        <f>IF(A17="","",_xlfn.MINIFS('Final Project Dataset'!N$2:N$251,'Final Project Dataset'!C$2:C$251,A17))</f>
        <v>89.99</v>
      </c>
      <c r="I17" s="37" t="str">
        <f t="shared" si="0"/>
        <v>3️⃣ Low Value</v>
      </c>
    </row>
    <row r="18" spans="1:9">
      <c r="A18" s="34" t="str">
        <f t="array" ref="A18">IFERROR(INDEX('Final Project Dataset'!C$2:C$251,MATCH(0,COUNTIF(A$1:A17,'Final Project Dataset'!C$2:C$251),0)),"")</f>
        <v>CUST048</v>
      </c>
      <c r="B18" s="34" t="str">
        <f>IF(A18="","",IFERROR(INDEX('Final Project Dataset'!D$2:D$251,MATCH(A18,'Final Project Dataset'!C$2:C$251,0)),""))</f>
        <v>Virginia Sanders</v>
      </c>
      <c r="C18" s="34" t="str">
        <f>IF(A18="","",IFERROR(INDEX('Final Project Dataset'!L$2:L$251,MATCH(A18,'Final Project Dataset'!C$2:C$251,0)),""))</f>
        <v>Premium</v>
      </c>
      <c r="D18" s="34">
        <f>IF(A18="","",COUNTIF('Final Project Dataset'!C$2:C$251,A18))</f>
        <v>6</v>
      </c>
      <c r="E18" s="34">
        <f>IF(A18="","",SUMIF('Final Project Dataset'!C$2:C$251,A18,'Final Project Dataset'!N$2:N$251))</f>
        <v>4789.7900000000009</v>
      </c>
      <c r="F18" s="34">
        <f>IF(A18="","",AVERAGEIF('Final Project Dataset'!C$2:C$251,A18,'Final Project Dataset'!N$2:N$251))</f>
        <v>798.29833333333352</v>
      </c>
      <c r="G18" s="34">
        <f>IF(A18="","",_xlfn.MAXIFS('Final Project Dataset'!N$2:N$251,'Final Project Dataset'!C$2:C$251,A18))</f>
        <v>1499.95</v>
      </c>
      <c r="H18" s="108">
        <f>IF(A18="","",_xlfn.MINIFS('Final Project Dataset'!N$2:N$251,'Final Project Dataset'!C$2:C$251,A18))</f>
        <v>239.97</v>
      </c>
      <c r="I18" s="37" t="str">
        <f t="shared" si="0"/>
        <v>3️⃣ Low Value</v>
      </c>
    </row>
    <row r="19" spans="1:9">
      <c r="A19" s="34" t="str">
        <f t="array" ref="A19">IFERROR(INDEX('Final Project Dataset'!C$2:C$251,MATCH(0,COUNTIF(A$1:A18,'Final Project Dataset'!C$2:C$251),0)),"")</f>
        <v>CUST018</v>
      </c>
      <c r="B19" s="34" t="str">
        <f>IF(A19="","",IFERROR(INDEX('Final Project Dataset'!D$2:D$251,MATCH(A19,'Final Project Dataset'!C$2:C$251,0)),""))</f>
        <v>Barbara Young</v>
      </c>
      <c r="C19" s="34" t="str">
        <f>IF(A19="","",IFERROR(INDEX('Final Project Dataset'!L$2:L$251,MATCH(A19,'Final Project Dataset'!C$2:C$251,0)),""))</f>
        <v>Basic</v>
      </c>
      <c r="D19" s="34">
        <f>IF(A19="","",COUNTIF('Final Project Dataset'!C$2:C$251,A19))</f>
        <v>5</v>
      </c>
      <c r="E19" s="34">
        <f>IF(A19="","",SUMIF('Final Project Dataset'!C$2:C$251,A19,'Final Project Dataset'!N$2:N$251))</f>
        <v>10649.8</v>
      </c>
      <c r="F19" s="34">
        <f>IF(A19="","",AVERAGEIF('Final Project Dataset'!C$2:C$251,A19,'Final Project Dataset'!N$2:N$251))</f>
        <v>2129.96</v>
      </c>
      <c r="G19" s="34">
        <f>IF(A19="","",_xlfn.MAXIFS('Final Project Dataset'!N$2:N$251,'Final Project Dataset'!C$2:C$251,A19))</f>
        <v>3499.95</v>
      </c>
      <c r="H19" s="108">
        <f>IF(A19="","",_xlfn.MINIFS('Final Project Dataset'!N$2:N$251,'Final Project Dataset'!C$2:C$251,A19))</f>
        <v>449.95</v>
      </c>
      <c r="I19" s="37" t="str">
        <f t="shared" si="0"/>
        <v>1️⃣ High Value</v>
      </c>
    </row>
    <row r="20" spans="1:9">
      <c r="A20" s="34" t="str">
        <f t="array" ref="A20">IFERROR(INDEX('Final Project Dataset'!C$2:C$251,MATCH(0,COUNTIF(A$1:A19,'Final Project Dataset'!C$2:C$251),0)),"")</f>
        <v>CUST012</v>
      </c>
      <c r="B20" s="34" t="str">
        <f>IF(A20="","",IFERROR(INDEX('Final Project Dataset'!D$2:D$251,MATCH(A20,'Final Project Dataset'!C$2:C$251,0)),""))</f>
        <v>Patricia Moore</v>
      </c>
      <c r="C20" s="34" t="str">
        <f>IF(A20="","",IFERROR(INDEX('Final Project Dataset'!L$2:L$251,MATCH(A20,'Final Project Dataset'!C$2:C$251,0)),""))</f>
        <v>Standard</v>
      </c>
      <c r="D20" s="34">
        <f>IF(A20="","",COUNTIF('Final Project Dataset'!C$2:C$251,A20))</f>
        <v>8</v>
      </c>
      <c r="E20" s="34">
        <f>IF(A20="","",SUMIF('Final Project Dataset'!C$2:C$251,A20,'Final Project Dataset'!N$2:N$251))</f>
        <v>9799.73</v>
      </c>
      <c r="F20" s="34">
        <f>IF(A20="","",AVERAGEIF('Final Project Dataset'!C$2:C$251,A20,'Final Project Dataset'!N$2:N$251))</f>
        <v>1224.9662499999999</v>
      </c>
      <c r="G20" s="34">
        <f>IF(A20="","",_xlfn.MAXIFS('Final Project Dataset'!N$2:N$251,'Final Project Dataset'!C$2:C$251,A20))</f>
        <v>3599.96</v>
      </c>
      <c r="H20" s="108">
        <f>IF(A20="","",_xlfn.MINIFS('Final Project Dataset'!N$2:N$251,'Final Project Dataset'!C$2:C$251,A20))</f>
        <v>179.98</v>
      </c>
      <c r="I20" s="37" t="str">
        <f t="shared" si="0"/>
        <v>2️⃣ Medium Value</v>
      </c>
    </row>
    <row r="21" spans="1:9">
      <c r="A21" s="34" t="str">
        <f t="array" ref="A21">IFERROR(INDEX('Final Project Dataset'!C$2:C$251,MATCH(0,COUNTIF(A$1:A20,'Final Project Dataset'!C$2:C$251),0)),"")</f>
        <v>CUST044</v>
      </c>
      <c r="B21" s="34" t="str">
        <f>IF(A21="","",IFERROR(INDEX('Final Project Dataset'!D$2:D$251,MATCH(A21,'Final Project Dataset'!C$2:C$251,0)),""))</f>
        <v>Cynthia Price</v>
      </c>
      <c r="C21" s="34" t="str">
        <f>IF(A21="","",IFERROR(INDEX('Final Project Dataset'!L$2:L$251,MATCH(A21,'Final Project Dataset'!C$2:C$251,0)),""))</f>
        <v>Standard</v>
      </c>
      <c r="D21" s="34">
        <f>IF(A21="","",COUNTIF('Final Project Dataset'!C$2:C$251,A21))</f>
        <v>5</v>
      </c>
      <c r="E21" s="34">
        <f>IF(A21="","",SUMIF('Final Project Dataset'!C$2:C$251,A21,'Final Project Dataset'!N$2:N$251))</f>
        <v>3769.8300000000004</v>
      </c>
      <c r="F21" s="34">
        <f>IF(A21="","",AVERAGEIF('Final Project Dataset'!C$2:C$251,A21,'Final Project Dataset'!N$2:N$251))</f>
        <v>753.96600000000012</v>
      </c>
      <c r="G21" s="34">
        <f>IF(A21="","",_xlfn.MAXIFS('Final Project Dataset'!N$2:N$251,'Final Project Dataset'!C$2:C$251,A21))</f>
        <v>1399.98</v>
      </c>
      <c r="H21" s="108">
        <f>IF(A21="","",_xlfn.MINIFS('Final Project Dataset'!N$2:N$251,'Final Project Dataset'!C$2:C$251,A21))</f>
        <v>299.98</v>
      </c>
      <c r="I21" s="37" t="str">
        <f t="shared" si="0"/>
        <v>3️⃣ Low Value</v>
      </c>
    </row>
    <row r="22" spans="1:9">
      <c r="A22" s="34" t="str">
        <f t="array" ref="A22">IFERROR(INDEX('Final Project Dataset'!C$2:C$251,MATCH(0,COUNTIF(A$1:A21,'Final Project Dataset'!C$2:C$251),0)),"")</f>
        <v>CUST036</v>
      </c>
      <c r="B22" s="34" t="str">
        <f>IF(A22="","",IFERROR(INDEX('Final Project Dataset'!D$2:D$251,MATCH(A22,'Final Project Dataset'!C$2:C$251,0)),""))</f>
        <v>Nancy Collins</v>
      </c>
      <c r="C22" s="34" t="str">
        <f>IF(A22="","",IFERROR(INDEX('Final Project Dataset'!L$2:L$251,MATCH(A22,'Final Project Dataset'!C$2:C$251,0)),""))</f>
        <v>Standard</v>
      </c>
      <c r="D22" s="34">
        <f>IF(A22="","",COUNTIF('Final Project Dataset'!C$2:C$251,A22))</f>
        <v>6</v>
      </c>
      <c r="E22" s="34">
        <f>IF(A22="","",SUMIF('Final Project Dataset'!C$2:C$251,A22,'Final Project Dataset'!N$2:N$251))</f>
        <v>4189.7700000000004</v>
      </c>
      <c r="F22" s="34">
        <f>IF(A22="","",AVERAGEIF('Final Project Dataset'!C$2:C$251,A22,'Final Project Dataset'!N$2:N$251))</f>
        <v>698.29500000000007</v>
      </c>
      <c r="G22" s="34">
        <f>IF(A22="","",_xlfn.MAXIFS('Final Project Dataset'!N$2:N$251,'Final Project Dataset'!C$2:C$251,A22))</f>
        <v>1249.95</v>
      </c>
      <c r="H22" s="108">
        <f>IF(A22="","",_xlfn.MINIFS('Final Project Dataset'!N$2:N$251,'Final Project Dataset'!C$2:C$251,A22))</f>
        <v>239.97</v>
      </c>
      <c r="I22" s="37" t="str">
        <f t="shared" si="0"/>
        <v>3️⃣ Low Value</v>
      </c>
    </row>
    <row r="23" spans="1:9">
      <c r="A23" s="34" t="str">
        <f t="array" ref="A23">IFERROR(INDEX('Final Project Dataset'!C$2:C$251,MATCH(0,COUNTIF(A$1:A22,'Final Project Dataset'!C$2:C$251),0)),"")</f>
        <v>CUST014</v>
      </c>
      <c r="B23" s="34" t="str">
        <f>IF(A23="","",IFERROR(INDEX('Final Project Dataset'!D$2:D$251,MATCH(A23,'Final Project Dataset'!C$2:C$251,0)),""))</f>
        <v>Linda Martin</v>
      </c>
      <c r="C23" s="34" t="str">
        <f>IF(A23="","",IFERROR(INDEX('Final Project Dataset'!L$2:L$251,MATCH(A23,'Final Project Dataset'!C$2:C$251,0)),""))</f>
        <v>Premium</v>
      </c>
      <c r="D23" s="34">
        <f>IF(A23="","",COUNTIF('Final Project Dataset'!C$2:C$251,A23))</f>
        <v>4</v>
      </c>
      <c r="E23" s="34">
        <f>IF(A23="","",SUMIF('Final Project Dataset'!C$2:C$251,A23,'Final Project Dataset'!N$2:N$251))</f>
        <v>1289.9000000000001</v>
      </c>
      <c r="F23" s="34">
        <f>IF(A23="","",AVERAGEIF('Final Project Dataset'!C$2:C$251,A23,'Final Project Dataset'!N$2:N$251))</f>
        <v>322.47500000000002</v>
      </c>
      <c r="G23" s="34">
        <f>IF(A23="","",_xlfn.MAXIFS('Final Project Dataset'!N$2:N$251,'Final Project Dataset'!C$2:C$251,A23))</f>
        <v>449.97</v>
      </c>
      <c r="H23" s="108">
        <f>IF(A23="","",_xlfn.MINIFS('Final Project Dataset'!N$2:N$251,'Final Project Dataset'!C$2:C$251,A23))</f>
        <v>239.97</v>
      </c>
      <c r="I23" s="37" t="str">
        <f t="shared" si="0"/>
        <v>3️⃣ Low Value</v>
      </c>
    </row>
    <row r="24" spans="1:9">
      <c r="A24" s="34" t="str">
        <f t="array" ref="A24">IFERROR(INDEX('Final Project Dataset'!C$2:C$251,MATCH(0,COUNTIF(A$1:A23,'Final Project Dataset'!C$2:C$251),0)),"")</f>
        <v>CUST030</v>
      </c>
      <c r="B24" s="34" t="str">
        <f>IF(A24="","",IFERROR(INDEX('Final Project Dataset'!D$2:D$251,MATCH(A24,'Final Project Dataset'!C$2:C$251,0)),""))</f>
        <v>Helen Roberts</v>
      </c>
      <c r="C24" s="34" t="str">
        <f>IF(A24="","",IFERROR(INDEX('Final Project Dataset'!L$2:L$251,MATCH(A24,'Final Project Dataset'!C$2:C$251,0)),""))</f>
        <v>Standard</v>
      </c>
      <c r="D24" s="34">
        <f>IF(A24="","",COUNTIF('Final Project Dataset'!C$2:C$251,A24))</f>
        <v>7</v>
      </c>
      <c r="E24" s="34">
        <f>IF(A24="","",SUMIF('Final Project Dataset'!C$2:C$251,A24,'Final Project Dataset'!N$2:N$251))</f>
        <v>6459.79</v>
      </c>
      <c r="F24" s="34">
        <f>IF(A24="","",AVERAGEIF('Final Project Dataset'!C$2:C$251,A24,'Final Project Dataset'!N$2:N$251))</f>
        <v>922.8271428571428</v>
      </c>
      <c r="G24" s="34">
        <f>IF(A24="","",_xlfn.MAXIFS('Final Project Dataset'!N$2:N$251,'Final Project Dataset'!C$2:C$251,A24))</f>
        <v>3599.96</v>
      </c>
      <c r="H24" s="108">
        <f>IF(A24="","",_xlfn.MINIFS('Final Project Dataset'!N$2:N$251,'Final Project Dataset'!C$2:C$251,A24))</f>
        <v>119.98</v>
      </c>
      <c r="I24" s="37" t="str">
        <f t="shared" si="0"/>
        <v>2️⃣ Medium Value</v>
      </c>
    </row>
    <row r="25" spans="1:9">
      <c r="A25" s="34" t="str">
        <f t="array" ref="A25">IFERROR(INDEX('Final Project Dataset'!C$2:C$251,MATCH(0,COUNTIF(A$1:A24,'Final Project Dataset'!C$2:C$251),0)),"")</f>
        <v>CUST029</v>
      </c>
      <c r="B25" s="34" t="str">
        <f>IF(A25="","",IFERROR(INDEX('Final Project Dataset'!D$2:D$251,MATCH(A25,'Final Project Dataset'!C$2:C$251,0)),""))</f>
        <v>Edward Mitchell</v>
      </c>
      <c r="C25" s="34" t="str">
        <f>IF(A25="","",IFERROR(INDEX('Final Project Dataset'!L$2:L$251,MATCH(A25,'Final Project Dataset'!C$2:C$251,0)),""))</f>
        <v>Standard</v>
      </c>
      <c r="D25" s="34">
        <f>IF(A25="","",COUNTIF('Final Project Dataset'!C$2:C$251,A25))</f>
        <v>6</v>
      </c>
      <c r="E25" s="34">
        <f>IF(A25="","",SUMIF('Final Project Dataset'!C$2:C$251,A25,'Final Project Dataset'!N$2:N$251))</f>
        <v>11919.769999999999</v>
      </c>
      <c r="F25" s="34">
        <f>IF(A25="","",AVERAGEIF('Final Project Dataset'!C$2:C$251,A25,'Final Project Dataset'!N$2:N$251))</f>
        <v>1986.6283333333331</v>
      </c>
      <c r="G25" s="34">
        <f>IF(A25="","",_xlfn.MAXIFS('Final Project Dataset'!N$2:N$251,'Final Project Dataset'!C$2:C$251,A25))</f>
        <v>4499.95</v>
      </c>
      <c r="H25" s="108">
        <f>IF(A25="","",_xlfn.MINIFS('Final Project Dataset'!N$2:N$251,'Final Project Dataset'!C$2:C$251,A25))</f>
        <v>179.98</v>
      </c>
      <c r="I25" s="37" t="str">
        <f t="shared" si="0"/>
        <v>1️⃣ High Value</v>
      </c>
    </row>
    <row r="26" spans="1:9">
      <c r="A26" s="34" t="str">
        <f t="array" ref="A26">IFERROR(INDEX('Final Project Dataset'!C$2:C$251,MATCH(0,COUNTIF(A$1:A25,'Final Project Dataset'!C$2:C$251),0)),"")</f>
        <v>CUST006</v>
      </c>
      <c r="B26" s="34" t="str">
        <f>IF(A26="","",IFERROR(INDEX('Final Project Dataset'!D$2:D$251,MATCH(A26,'Final Project Dataset'!C$2:C$251,0)),""))</f>
        <v>Lisa Anderson</v>
      </c>
      <c r="C26" s="34" t="str">
        <f>IF(A26="","",IFERROR(INDEX('Final Project Dataset'!L$2:L$251,MATCH(A26,'Final Project Dataset'!C$2:C$251,0)),""))</f>
        <v>Basic</v>
      </c>
      <c r="D26" s="34">
        <f>IF(A26="","",COUNTIF('Final Project Dataset'!C$2:C$251,A26))</f>
        <v>5</v>
      </c>
      <c r="E26" s="34">
        <f>IF(A26="","",SUMIF('Final Project Dataset'!C$2:C$251,A26,'Final Project Dataset'!N$2:N$251))</f>
        <v>2039.8000000000002</v>
      </c>
      <c r="F26" s="34">
        <f>IF(A26="","",AVERAGEIF('Final Project Dataset'!C$2:C$251,A26,'Final Project Dataset'!N$2:N$251))</f>
        <v>407.96000000000004</v>
      </c>
      <c r="G26" s="34">
        <f>IF(A26="","",_xlfn.MAXIFS('Final Project Dataset'!N$2:N$251,'Final Project Dataset'!C$2:C$251,A26))</f>
        <v>749.95</v>
      </c>
      <c r="H26" s="108">
        <f>IF(A26="","",_xlfn.MINIFS('Final Project Dataset'!N$2:N$251,'Final Project Dataset'!C$2:C$251,A26))</f>
        <v>239.97</v>
      </c>
      <c r="I26" s="37" t="str">
        <f t="shared" si="0"/>
        <v>3️⃣ Low Value</v>
      </c>
    </row>
    <row r="27" spans="1:9">
      <c r="A27" s="34" t="str">
        <f t="array" ref="A27">IFERROR(INDEX('Final Project Dataset'!C$2:C$251,MATCH(0,COUNTIF(A$1:A26,'Final Project Dataset'!C$2:C$251),0)),"")</f>
        <v>CUST002</v>
      </c>
      <c r="B27" s="34" t="str">
        <f>IF(A27="","",IFERROR(INDEX('Final Project Dataset'!D$2:D$251,MATCH(A27,'Final Project Dataset'!C$2:C$251,0)),""))</f>
        <v>Emma Wilson</v>
      </c>
      <c r="C27" s="34" t="str">
        <f>IF(A27="","",IFERROR(INDEX('Final Project Dataset'!L$2:L$251,MATCH(A27,'Final Project Dataset'!C$2:C$251,0)),""))</f>
        <v>Premium</v>
      </c>
      <c r="D27" s="34">
        <f>IF(A27="","",COUNTIF('Final Project Dataset'!C$2:C$251,A27))</f>
        <v>5</v>
      </c>
      <c r="E27" s="34">
        <f>IF(A27="","",SUMIF('Final Project Dataset'!C$2:C$251,A27,'Final Project Dataset'!N$2:N$251))</f>
        <v>1229.8800000000001</v>
      </c>
      <c r="F27" s="34">
        <f>IF(A27="","",AVERAGEIF('Final Project Dataset'!C$2:C$251,A27,'Final Project Dataset'!N$2:N$251))</f>
        <v>245.97600000000003</v>
      </c>
      <c r="G27" s="34">
        <f>IF(A27="","",_xlfn.MAXIFS('Final Project Dataset'!N$2:N$251,'Final Project Dataset'!C$2:C$251,A27))</f>
        <v>449.97</v>
      </c>
      <c r="H27" s="108">
        <f>IF(A27="","",_xlfn.MINIFS('Final Project Dataset'!N$2:N$251,'Final Project Dataset'!C$2:C$251,A27))</f>
        <v>119.98</v>
      </c>
      <c r="I27" s="37" t="str">
        <f t="shared" si="0"/>
        <v>3️⃣ Low Value</v>
      </c>
    </row>
    <row r="28" spans="1:9">
      <c r="A28" s="34" t="str">
        <f t="array" ref="A28">IFERROR(INDEX('Final Project Dataset'!C$2:C$251,MATCH(0,COUNTIF(A$1:A27,'Final Project Dataset'!C$2:C$251),0)),"")</f>
        <v>CUST031</v>
      </c>
      <c r="B28" s="34" t="str">
        <f>IF(A28="","",IFERROR(INDEX('Final Project Dataset'!D$2:D$251,MATCH(A28,'Final Project Dataset'!C$2:C$251,0)),""))</f>
        <v>Steven Turner</v>
      </c>
      <c r="C28" s="34" t="str">
        <f>IF(A28="","",IFERROR(INDEX('Final Project Dataset'!L$2:L$251,MATCH(A28,'Final Project Dataset'!C$2:C$251,0)),""))</f>
        <v>Premium</v>
      </c>
      <c r="D28" s="34">
        <f>IF(A28="","",COUNTIF('Final Project Dataset'!C$2:C$251,A28))</f>
        <v>6</v>
      </c>
      <c r="E28" s="34">
        <f>IF(A28="","",SUMIF('Final Project Dataset'!C$2:C$251,A28,'Final Project Dataset'!N$2:N$251))</f>
        <v>2649.83</v>
      </c>
      <c r="F28" s="34">
        <f>IF(A28="","",AVERAGEIF('Final Project Dataset'!C$2:C$251,A28,'Final Project Dataset'!N$2:N$251))</f>
        <v>441.63833333333332</v>
      </c>
      <c r="G28" s="34">
        <f>IF(A28="","",_xlfn.MAXIFS('Final Project Dataset'!N$2:N$251,'Final Project Dataset'!C$2:C$251,A28))</f>
        <v>599.98</v>
      </c>
      <c r="H28" s="108">
        <f>IF(A28="","",_xlfn.MINIFS('Final Project Dataset'!N$2:N$251,'Final Project Dataset'!C$2:C$251,A28))</f>
        <v>179.97</v>
      </c>
      <c r="I28" s="37" t="str">
        <f t="shared" si="0"/>
        <v>3️⃣ Low Value</v>
      </c>
    </row>
    <row r="29" spans="1:9">
      <c r="A29" s="34" t="str">
        <f t="array" ref="A29">IFERROR(INDEX('Final Project Dataset'!C$2:C$251,MATCH(0,COUNTIF(A$1:A28,'Final Project Dataset'!C$2:C$251),0)),"")</f>
        <v>CUST008</v>
      </c>
      <c r="B29" s="34" t="str">
        <f>IF(A29="","",IFERROR(INDEX('Final Project Dataset'!D$2:D$251,MATCH(A29,'Final Project Dataset'!C$2:C$251,0)),""))</f>
        <v>Jennifer Taylor</v>
      </c>
      <c r="C29" s="34" t="str">
        <f>IF(A29="","",IFERROR(INDEX('Final Project Dataset'!L$2:L$251,MATCH(A29,'Final Project Dataset'!C$2:C$251,0)),""))</f>
        <v>Standard</v>
      </c>
      <c r="D29" s="34">
        <f>IF(A29="","",COUNTIF('Final Project Dataset'!C$2:C$251,A29))</f>
        <v>4</v>
      </c>
      <c r="E29" s="34">
        <f>IF(A29="","",SUMIF('Final Project Dataset'!C$2:C$251,A29,'Final Project Dataset'!N$2:N$251))</f>
        <v>4739.8500000000004</v>
      </c>
      <c r="F29" s="34">
        <f>IF(A29="","",AVERAGEIF('Final Project Dataset'!C$2:C$251,A29,'Final Project Dataset'!N$2:N$251))</f>
        <v>1184.9625000000001</v>
      </c>
      <c r="G29" s="34">
        <f>IF(A29="","",_xlfn.MAXIFS('Final Project Dataset'!N$2:N$251,'Final Project Dataset'!C$2:C$251,A29))</f>
        <v>3499.95</v>
      </c>
      <c r="H29" s="108">
        <f>IF(A29="","",_xlfn.MINIFS('Final Project Dataset'!N$2:N$251,'Final Project Dataset'!C$2:C$251,A29))</f>
        <v>319.95999999999998</v>
      </c>
      <c r="I29" s="37" t="str">
        <f t="shared" si="0"/>
        <v>3️⃣ Low Value</v>
      </c>
    </row>
    <row r="30" spans="1:9">
      <c r="A30" s="34" t="str">
        <f t="array" ref="A30">IFERROR(INDEX('Final Project Dataset'!C$2:C$251,MATCH(0,COUNTIF(A$1:A29,'Final Project Dataset'!C$2:C$251),0)),"")</f>
        <v>CUST035</v>
      </c>
      <c r="B30" s="34" t="str">
        <f>IF(A30="","",IFERROR(INDEX('Final Project Dataset'!D$2:D$251,MATCH(A30,'Final Project Dataset'!C$2:C$251,0)),""))</f>
        <v>Harry Morgan</v>
      </c>
      <c r="C30" s="34" t="str">
        <f>IF(A30="","",IFERROR(INDEX('Final Project Dataset'!L$2:L$251,MATCH(A30,'Final Project Dataset'!C$2:C$251,0)),""))</f>
        <v>Premium</v>
      </c>
      <c r="D30" s="34">
        <f>IF(A30="","",COUNTIF('Final Project Dataset'!C$2:C$251,A30))</f>
        <v>4</v>
      </c>
      <c r="E30" s="34">
        <f>IF(A30="","",SUMIF('Final Project Dataset'!C$2:C$251,A30,'Final Project Dataset'!N$2:N$251))</f>
        <v>5519.8899999999994</v>
      </c>
      <c r="F30" s="34">
        <f>IF(A30="","",AVERAGEIF('Final Project Dataset'!C$2:C$251,A30,'Final Project Dataset'!N$2:N$251))</f>
        <v>1379.9724999999999</v>
      </c>
      <c r="G30" s="34">
        <f>IF(A30="","",_xlfn.MAXIFS('Final Project Dataset'!N$2:N$251,'Final Project Dataset'!C$2:C$251,A30))</f>
        <v>4499.95</v>
      </c>
      <c r="H30" s="108">
        <f>IF(A30="","",_xlfn.MINIFS('Final Project Dataset'!N$2:N$251,'Final Project Dataset'!C$2:C$251,A30))</f>
        <v>249.99</v>
      </c>
      <c r="I30" s="37" t="str">
        <f t="shared" si="0"/>
        <v>2️⃣ Medium Value</v>
      </c>
    </row>
    <row r="31" spans="1:9">
      <c r="A31" s="34" t="str">
        <f t="array" ref="A31">IFERROR(INDEX('Final Project Dataset'!C$2:C$251,MATCH(0,COUNTIF(A$1:A30,'Final Project Dataset'!C$2:C$251),0)),"")</f>
        <v>CUST019</v>
      </c>
      <c r="B31" s="34" t="str">
        <f>IF(A31="","",IFERROR(INDEX('Final Project Dataset'!D$2:D$251,MATCH(A31,'Final Project Dataset'!C$2:C$251,0)),""))</f>
        <v>Daniel King</v>
      </c>
      <c r="C31" s="34" t="str">
        <f>IF(A31="","",IFERROR(INDEX('Final Project Dataset'!L$2:L$251,MATCH(A31,'Final Project Dataset'!C$2:C$251,0)),""))</f>
        <v>Standard</v>
      </c>
      <c r="D31" s="34">
        <f>IF(A31="","",COUNTIF('Final Project Dataset'!C$2:C$251,A31))</f>
        <v>7</v>
      </c>
      <c r="E31" s="34">
        <f>IF(A31="","",SUMIF('Final Project Dataset'!C$2:C$251,A31,'Final Project Dataset'!N$2:N$251))</f>
        <v>7309.7999999999993</v>
      </c>
      <c r="F31" s="34">
        <f>IF(A31="","",AVERAGEIF('Final Project Dataset'!C$2:C$251,A31,'Final Project Dataset'!N$2:N$251))</f>
        <v>1044.2571428571428</v>
      </c>
      <c r="G31" s="34">
        <f>IF(A31="","",_xlfn.MAXIFS('Final Project Dataset'!N$2:N$251,'Final Project Dataset'!C$2:C$251,A31))</f>
        <v>4499.95</v>
      </c>
      <c r="H31" s="108">
        <f>IF(A31="","",_xlfn.MINIFS('Final Project Dataset'!N$2:N$251,'Final Project Dataset'!C$2:C$251,A31))</f>
        <v>79.989999999999995</v>
      </c>
      <c r="I31" s="37" t="str">
        <f t="shared" si="0"/>
        <v>2️⃣ Medium Value</v>
      </c>
    </row>
    <row r="32" spans="1:9">
      <c r="A32" s="34" t="str">
        <f t="array" ref="A32">IFERROR(INDEX('Final Project Dataset'!C$2:C$251,MATCH(0,COUNTIF(A$1:A31,'Final Project Dataset'!C$2:C$251),0)),"")</f>
        <v>CUST040</v>
      </c>
      <c r="B32" s="34" t="str">
        <f>IF(A32="","",IFERROR(INDEX('Final Project Dataset'!D$2:D$251,MATCH(A32,'Final Project Dataset'!C$2:C$251,0)),""))</f>
        <v>Sharon Butler</v>
      </c>
      <c r="C32" s="34" t="str">
        <f>IF(A32="","",IFERROR(INDEX('Final Project Dataset'!L$2:L$251,MATCH(A32,'Final Project Dataset'!C$2:C$251,0)),""))</f>
        <v>Basic</v>
      </c>
      <c r="D32" s="34">
        <f>IF(A32="","",COUNTIF('Final Project Dataset'!C$2:C$251,A32))</f>
        <v>6</v>
      </c>
      <c r="E32" s="34">
        <f>IF(A32="","",SUMIF('Final Project Dataset'!C$2:C$251,A32,'Final Project Dataset'!N$2:N$251))</f>
        <v>5619.869999999999</v>
      </c>
      <c r="F32" s="34">
        <f>IF(A32="","",AVERAGEIF('Final Project Dataset'!C$2:C$251,A32,'Final Project Dataset'!N$2:N$251))</f>
        <v>936.64499999999987</v>
      </c>
      <c r="G32" s="34">
        <f>IF(A32="","",_xlfn.MAXIFS('Final Project Dataset'!N$2:N$251,'Final Project Dataset'!C$2:C$251,A32))</f>
        <v>2699.97</v>
      </c>
      <c r="H32" s="108">
        <f>IF(A32="","",_xlfn.MINIFS('Final Project Dataset'!N$2:N$251,'Final Project Dataset'!C$2:C$251,A32))</f>
        <v>119.98</v>
      </c>
      <c r="I32" s="37" t="str">
        <f t="shared" si="0"/>
        <v>2️⃣ Medium Value</v>
      </c>
    </row>
    <row r="33" spans="1:9">
      <c r="A33" s="34" t="str">
        <f t="array" ref="A33">IFERROR(INDEX('Final Project Dataset'!C$2:C$251,MATCH(0,COUNTIF(A$1:A32,'Final Project Dataset'!C$2:C$251),0)),"")</f>
        <v>CUST004</v>
      </c>
      <c r="B33" s="34" t="str">
        <f>IF(A33="","",IFERROR(INDEX('Final Project Dataset'!D$2:D$251,MATCH(A33,'Final Project Dataset'!C$2:C$251,0)),""))</f>
        <v>Sarah Davis</v>
      </c>
      <c r="C33" s="34" t="str">
        <f>IF(A33="","",IFERROR(INDEX('Final Project Dataset'!L$2:L$251,MATCH(A33,'Final Project Dataset'!C$2:C$251,0)),""))</f>
        <v>Standard</v>
      </c>
      <c r="D33" s="34">
        <f>IF(A33="","",COUNTIF('Final Project Dataset'!C$2:C$251,A33))</f>
        <v>5</v>
      </c>
      <c r="E33" s="34">
        <f>IF(A33="","",SUMIF('Final Project Dataset'!C$2:C$251,A33,'Final Project Dataset'!N$2:N$251))</f>
        <v>5499.8099999999995</v>
      </c>
      <c r="F33" s="34">
        <f>IF(A33="","",AVERAGEIF('Final Project Dataset'!C$2:C$251,A33,'Final Project Dataset'!N$2:N$251))</f>
        <v>1099.962</v>
      </c>
      <c r="G33" s="34">
        <f>IF(A33="","",_xlfn.MAXIFS('Final Project Dataset'!N$2:N$251,'Final Project Dataset'!C$2:C$251,A33))</f>
        <v>2099.9699999999998</v>
      </c>
      <c r="H33" s="108">
        <f>IF(A33="","",_xlfn.MINIFS('Final Project Dataset'!N$2:N$251,'Final Project Dataset'!C$2:C$251,A33))</f>
        <v>449.95</v>
      </c>
      <c r="I33" s="37" t="str">
        <f t="shared" si="0"/>
        <v>2️⃣ Medium Value</v>
      </c>
    </row>
    <row r="34" spans="1:9">
      <c r="A34" s="34" t="str">
        <f t="array" ref="A34">IFERROR(INDEX('Final Project Dataset'!C$2:C$251,MATCH(0,COUNTIF(A$1:A33,'Final Project Dataset'!C$2:C$251),0)),"")</f>
        <v>CUST028</v>
      </c>
      <c r="B34" s="34" t="str">
        <f>IF(A34="","",IFERROR(INDEX('Final Project Dataset'!D$2:D$251,MATCH(A34,'Final Project Dataset'!C$2:C$251,0)),""))</f>
        <v>Betty Campbell</v>
      </c>
      <c r="C34" s="34" t="str">
        <f>IF(A34="","",IFERROR(INDEX('Final Project Dataset'!L$2:L$251,MATCH(A34,'Final Project Dataset'!C$2:C$251,0)),""))</f>
        <v>Standard</v>
      </c>
      <c r="D34" s="34">
        <f>IF(A34="","",COUNTIF('Final Project Dataset'!C$2:C$251,A34))</f>
        <v>5</v>
      </c>
      <c r="E34" s="34">
        <f>IF(A34="","",SUMIF('Final Project Dataset'!C$2:C$251,A34,'Final Project Dataset'!N$2:N$251))</f>
        <v>5649.84</v>
      </c>
      <c r="F34" s="34">
        <f>IF(A34="","",AVERAGEIF('Final Project Dataset'!C$2:C$251,A34,'Final Project Dataset'!N$2:N$251))</f>
        <v>1129.9680000000001</v>
      </c>
      <c r="G34" s="34">
        <f>IF(A34="","",_xlfn.MAXIFS('Final Project Dataset'!N$2:N$251,'Final Project Dataset'!C$2:C$251,A34))</f>
        <v>3499.95</v>
      </c>
      <c r="H34" s="108">
        <f>IF(A34="","",_xlfn.MINIFS('Final Project Dataset'!N$2:N$251,'Final Project Dataset'!C$2:C$251,A34))</f>
        <v>59.99</v>
      </c>
      <c r="I34" s="37" t="str">
        <f t="shared" si="0"/>
        <v>2️⃣ Medium Value</v>
      </c>
    </row>
    <row r="35" spans="1:9">
      <c r="A35" s="34" t="str">
        <f t="array" ref="A35">IFERROR(INDEX('Final Project Dataset'!C$2:C$251,MATCH(0,COUNTIF(A$1:A34,'Final Project Dataset'!C$2:C$251),0)),"")</f>
        <v>CUST050</v>
      </c>
      <c r="B35" s="34" t="str">
        <f>IF(A35="","",IFERROR(INDEX('Final Project Dataset'!D$2:D$251,MATCH(A35,'Final Project Dataset'!C$2:C$251,0)),""))</f>
        <v>Julie Foster</v>
      </c>
      <c r="C35" s="34" t="str">
        <f>IF(A35="","",IFERROR(INDEX('Final Project Dataset'!L$2:L$251,MATCH(A35,'Final Project Dataset'!C$2:C$251,0)),""))</f>
        <v>Standard</v>
      </c>
      <c r="D35" s="34">
        <f>IF(A35="","",COUNTIF('Final Project Dataset'!C$2:C$251,A35))</f>
        <v>1</v>
      </c>
      <c r="E35" s="34">
        <f>IF(A35="","",SUMIF('Final Project Dataset'!C$2:C$251,A35,'Final Project Dataset'!N$2:N$251))</f>
        <v>239.96</v>
      </c>
      <c r="F35" s="34">
        <f>IF(A35="","",AVERAGEIF('Final Project Dataset'!C$2:C$251,A35,'Final Project Dataset'!N$2:N$251))</f>
        <v>239.96</v>
      </c>
      <c r="G35" s="34">
        <f>IF(A35="","",_xlfn.MAXIFS('Final Project Dataset'!N$2:N$251,'Final Project Dataset'!C$2:C$251,A35))</f>
        <v>239.96</v>
      </c>
      <c r="H35" s="108">
        <f>IF(A35="","",_xlfn.MINIFS('Final Project Dataset'!N$2:N$251,'Final Project Dataset'!C$2:C$251,A35))</f>
        <v>239.96</v>
      </c>
      <c r="I35" s="37" t="str">
        <f t="shared" si="0"/>
        <v>3️⃣ Low Value</v>
      </c>
    </row>
    <row r="36" spans="1:9">
      <c r="A36" s="34" t="str">
        <f t="array" ref="A36">IFERROR(INDEX('Final Project Dataset'!C$2:C$251,MATCH(0,COUNTIF(A$1:A35,'Final Project Dataset'!C$2:C$251),0)),"")</f>
        <v>CUST049</v>
      </c>
      <c r="B36" s="34" t="str">
        <f>IF(A36="","",IFERROR(INDEX('Final Project Dataset'!D$2:D$251,MATCH(A36,'Final Project Dataset'!C$2:C$251,0)),""))</f>
        <v>Raymond Ross</v>
      </c>
      <c r="C36" s="34" t="str">
        <f>IF(A36="","",IFERROR(INDEX('Final Project Dataset'!L$2:L$251,MATCH(A36,'Final Project Dataset'!C$2:C$251,0)),""))</f>
        <v>Basic</v>
      </c>
      <c r="D36" s="34">
        <f>IF(A36="","",COUNTIF('Final Project Dataset'!C$2:C$251,A36))</f>
        <v>4</v>
      </c>
      <c r="E36" s="34">
        <f>IF(A36="","",SUMIF('Final Project Dataset'!C$2:C$251,A36,'Final Project Dataset'!N$2:N$251))</f>
        <v>3669.8500000000004</v>
      </c>
      <c r="F36" s="34">
        <f>IF(A36="","",AVERAGEIF('Final Project Dataset'!C$2:C$251,A36,'Final Project Dataset'!N$2:N$251))</f>
        <v>917.46250000000009</v>
      </c>
      <c r="G36" s="34">
        <f>IF(A36="","",_xlfn.MAXIFS('Final Project Dataset'!N$2:N$251,'Final Project Dataset'!C$2:C$251,A36))</f>
        <v>2799.96</v>
      </c>
      <c r="H36" s="108">
        <f>IF(A36="","",_xlfn.MINIFS('Final Project Dataset'!N$2:N$251,'Final Project Dataset'!C$2:C$251,A36))</f>
        <v>239.96</v>
      </c>
      <c r="I36" s="37" t="str">
        <f t="shared" si="0"/>
        <v>3️⃣ Low Value</v>
      </c>
    </row>
    <row r="37" spans="1:9">
      <c r="A37" s="34" t="str">
        <f t="array" ref="A37">IFERROR(INDEX('Final Project Dataset'!C$2:C$251,MATCH(0,COUNTIF(A$1:A36,'Final Project Dataset'!C$2:C$251),0)),"")</f>
        <v>CUST007</v>
      </c>
      <c r="B37" s="34" t="str">
        <f>IF(A37="","",IFERROR(INDEX('Final Project Dataset'!D$2:D$251,MATCH(A37,'Final Project Dataset'!C$2:C$251,0)),""))</f>
        <v>David Martinez</v>
      </c>
      <c r="C37" s="34" t="str">
        <f>IF(A37="","",IFERROR(INDEX('Final Project Dataset'!L$2:L$251,MATCH(A37,'Final Project Dataset'!C$2:C$251,0)),""))</f>
        <v>Basic</v>
      </c>
      <c r="D37" s="34">
        <f>IF(A37="","",COUNTIF('Final Project Dataset'!C$2:C$251,A37))</f>
        <v>6</v>
      </c>
      <c r="E37" s="34">
        <f>IF(A37="","",SUMIF('Final Project Dataset'!C$2:C$251,A37,'Final Project Dataset'!N$2:N$251))</f>
        <v>1809.84</v>
      </c>
      <c r="F37" s="34">
        <f>IF(A37="","",AVERAGEIF('Final Project Dataset'!C$2:C$251,A37,'Final Project Dataset'!N$2:N$251))</f>
        <v>301.64</v>
      </c>
      <c r="G37" s="34">
        <f>IF(A37="","",_xlfn.MAXIFS('Final Project Dataset'!N$2:N$251,'Final Project Dataset'!C$2:C$251,A37))</f>
        <v>599.96</v>
      </c>
      <c r="H37" s="108">
        <f>IF(A37="","",_xlfn.MINIFS('Final Project Dataset'!N$2:N$251,'Final Project Dataset'!C$2:C$251,A37))</f>
        <v>89.99</v>
      </c>
      <c r="I37" s="37" t="str">
        <f t="shared" si="0"/>
        <v>3️⃣ Low Value</v>
      </c>
    </row>
    <row r="38" spans="1:9">
      <c r="A38" s="34" t="str">
        <f t="array" ref="A38">IFERROR(INDEX('Final Project Dataset'!C$2:C$251,MATCH(0,COUNTIF(A$1:A37,'Final Project Dataset'!C$2:C$251),0)),"")</f>
        <v>CUST020</v>
      </c>
      <c r="B38" s="34" t="str">
        <f>IF(A38="","",IFERROR(INDEX('Final Project Dataset'!D$2:D$251,MATCH(A38,'Final Project Dataset'!C$2:C$251,0)),""))</f>
        <v>Margaret Wright</v>
      </c>
      <c r="C38" s="34" t="str">
        <f>IF(A38="","",IFERROR(INDEX('Final Project Dataset'!L$2:L$251,MATCH(A38,'Final Project Dataset'!C$2:C$251,0)),""))</f>
        <v>Basic</v>
      </c>
      <c r="D38" s="34">
        <f>IF(A38="","",COUNTIF('Final Project Dataset'!C$2:C$251,A38))</f>
        <v>4</v>
      </c>
      <c r="E38" s="34">
        <f>IF(A38="","",SUMIF('Final Project Dataset'!C$2:C$251,A38,'Final Project Dataset'!N$2:N$251))</f>
        <v>2099.88</v>
      </c>
      <c r="F38" s="34">
        <f>IF(A38="","",AVERAGEIF('Final Project Dataset'!C$2:C$251,A38,'Final Project Dataset'!N$2:N$251))</f>
        <v>524.97</v>
      </c>
      <c r="G38" s="34">
        <f>IF(A38="","",_xlfn.MAXIFS('Final Project Dataset'!N$2:N$251,'Final Project Dataset'!C$2:C$251,A38))</f>
        <v>1249.95</v>
      </c>
      <c r="H38" s="108">
        <f>IF(A38="","",_xlfn.MINIFS('Final Project Dataset'!N$2:N$251,'Final Project Dataset'!C$2:C$251,A38))</f>
        <v>149.99</v>
      </c>
      <c r="I38" s="37" t="str">
        <f t="shared" si="0"/>
        <v>3️⃣ Low Value</v>
      </c>
    </row>
    <row r="39" spans="1:9">
      <c r="A39" s="34" t="str">
        <f t="array" ref="A39">IFERROR(INDEX('Final Project Dataset'!C$2:C$251,MATCH(0,COUNTIF(A$1:A38,'Final Project Dataset'!C$2:C$251),0)),"")</f>
        <v>CUST033</v>
      </c>
      <c r="B39" s="34" t="str">
        <f>IF(A39="","",IFERROR(INDEX('Final Project Dataset'!D$2:D$251,MATCH(A39,'Final Project Dataset'!C$2:C$251,0)),""))</f>
        <v>Frank Torres</v>
      </c>
      <c r="C39" s="34" t="str">
        <f>IF(A39="","",IFERROR(INDEX('Final Project Dataset'!L$2:L$251,MATCH(A39,'Final Project Dataset'!C$2:C$251,0)),""))</f>
        <v>Premium</v>
      </c>
      <c r="D39" s="34">
        <f>IF(A39="","",COUNTIF('Final Project Dataset'!C$2:C$251,A39))</f>
        <v>5</v>
      </c>
      <c r="E39" s="34">
        <f>IF(A39="","",SUMIF('Final Project Dataset'!C$2:C$251,A39,'Final Project Dataset'!N$2:N$251))</f>
        <v>1479.91</v>
      </c>
      <c r="F39" s="34">
        <f>IF(A39="","",AVERAGEIF('Final Project Dataset'!C$2:C$251,A39,'Final Project Dataset'!N$2:N$251))</f>
        <v>295.98200000000003</v>
      </c>
      <c r="G39" s="34">
        <f>IF(A39="","",_xlfn.MAXIFS('Final Project Dataset'!N$2:N$251,'Final Project Dataset'!C$2:C$251,A39))</f>
        <v>599.97</v>
      </c>
      <c r="H39" s="108">
        <f>IF(A39="","",_xlfn.MINIFS('Final Project Dataset'!N$2:N$251,'Final Project Dataset'!C$2:C$251,A39))</f>
        <v>59.99</v>
      </c>
      <c r="I39" s="37" t="str">
        <f t="shared" si="0"/>
        <v>3️⃣ Low Value</v>
      </c>
    </row>
    <row r="40" spans="1:9">
      <c r="A40" s="34" t="str">
        <f t="array" ref="A40">IFERROR(INDEX('Final Project Dataset'!C$2:C$251,MATCH(0,COUNTIF(A$1:A39,'Final Project Dataset'!C$2:C$251),0)),"")</f>
        <v>CUST047</v>
      </c>
      <c r="B40" s="34" t="str">
        <f>IF(A40="","",IFERROR(INDEX('Final Project Dataset'!D$2:D$251,MATCH(A40,'Final Project Dataset'!C$2:C$251,0)),""))</f>
        <v>Gerald Murphy</v>
      </c>
      <c r="C40" s="34" t="str">
        <f>IF(A40="","",IFERROR(INDEX('Final Project Dataset'!L$2:L$251,MATCH(A40,'Final Project Dataset'!C$2:C$251,0)),""))</f>
        <v>Basic</v>
      </c>
      <c r="D40" s="34">
        <f>IF(A40="","",COUNTIF('Final Project Dataset'!C$2:C$251,A40))</f>
        <v>4</v>
      </c>
      <c r="E40" s="34">
        <f>IF(A40="","",SUMIF('Final Project Dataset'!C$2:C$251,A40,'Final Project Dataset'!N$2:N$251))</f>
        <v>6379.87</v>
      </c>
      <c r="F40" s="34">
        <f>IF(A40="","",AVERAGEIF('Final Project Dataset'!C$2:C$251,A40,'Final Project Dataset'!N$2:N$251))</f>
        <v>1594.9675</v>
      </c>
      <c r="G40" s="34">
        <f>IF(A40="","",_xlfn.MAXIFS('Final Project Dataset'!N$2:N$251,'Final Project Dataset'!C$2:C$251,A40))</f>
        <v>4499.95</v>
      </c>
      <c r="H40" s="108">
        <f>IF(A40="","",_xlfn.MINIFS('Final Project Dataset'!N$2:N$251,'Final Project Dataset'!C$2:C$251,A40))</f>
        <v>179.97</v>
      </c>
      <c r="I40" s="37" t="str">
        <f t="shared" si="0"/>
        <v>2️⃣ Medium Value</v>
      </c>
    </row>
    <row r="41" spans="1:9">
      <c r="A41" s="34" t="str">
        <f t="array" ref="A41">IFERROR(INDEX('Final Project Dataset'!C$2:C$251,MATCH(0,COUNTIF(A$1:A40,'Final Project Dataset'!C$2:C$251),0)),"")</f>
        <v>CUST016</v>
      </c>
      <c r="B41" s="34" t="str">
        <f>IF(A41="","",IFERROR(INDEX('Final Project Dataset'!D$2:D$251,MATCH(A41,'Final Project Dataset'!C$2:C$251,0)),""))</f>
        <v>Elizabeth Hall</v>
      </c>
      <c r="C41" s="34" t="str">
        <f>IF(A41="","",IFERROR(INDEX('Final Project Dataset'!L$2:L$251,MATCH(A41,'Final Project Dataset'!C$2:C$251,0)),""))</f>
        <v>Basic</v>
      </c>
      <c r="D41" s="34">
        <f>IF(A41="","",COUNTIF('Final Project Dataset'!C$2:C$251,A41))</f>
        <v>4</v>
      </c>
      <c r="E41" s="34">
        <f>IF(A41="","",SUMIF('Final Project Dataset'!C$2:C$251,A41,'Final Project Dataset'!N$2:N$251))</f>
        <v>3649.8599999999997</v>
      </c>
      <c r="F41" s="34">
        <f>IF(A41="","",AVERAGEIF('Final Project Dataset'!C$2:C$251,A41,'Final Project Dataset'!N$2:N$251))</f>
        <v>912.46499999999992</v>
      </c>
      <c r="G41" s="34">
        <f>IF(A41="","",_xlfn.MAXIFS('Final Project Dataset'!N$2:N$251,'Final Project Dataset'!C$2:C$251,A41))</f>
        <v>1499.95</v>
      </c>
      <c r="H41" s="108">
        <f>IF(A41="","",_xlfn.MINIFS('Final Project Dataset'!N$2:N$251,'Final Project Dataset'!C$2:C$251,A41))</f>
        <v>299.98</v>
      </c>
      <c r="I41" s="37" t="str">
        <f t="shared" si="0"/>
        <v>3️⃣ Low Value</v>
      </c>
    </row>
    <row r="42" spans="1:9">
      <c r="A42" s="34" t="str">
        <f t="array" ref="A42">IFERROR(INDEX('Final Project Dataset'!C$2:C$251,MATCH(0,COUNTIF(A$1:A41,'Final Project Dataset'!C$2:C$251),0)),"")</f>
        <v>CUST039</v>
      </c>
      <c r="B42" s="34" t="str">
        <f>IF(A42="","",IFERROR(INDEX('Final Project Dataset'!D$2:D$251,MATCH(A42,'Final Project Dataset'!C$2:C$251,0)),""))</f>
        <v>Lawrence Reed</v>
      </c>
      <c r="C42" s="34" t="str">
        <f>IF(A42="","",IFERROR(INDEX('Final Project Dataset'!L$2:L$251,MATCH(A42,'Final Project Dataset'!C$2:C$251,0)),""))</f>
        <v>Premium</v>
      </c>
      <c r="D42" s="34">
        <f>IF(A42="","",COUNTIF('Final Project Dataset'!C$2:C$251,A42))</f>
        <v>8</v>
      </c>
      <c r="E42" s="34">
        <f>IF(A42="","",SUMIF('Final Project Dataset'!C$2:C$251,A42,'Final Project Dataset'!N$2:N$251))</f>
        <v>6989.7699999999986</v>
      </c>
      <c r="F42" s="34">
        <f>IF(A42="","",AVERAGEIF('Final Project Dataset'!C$2:C$251,A42,'Final Project Dataset'!N$2:N$251))</f>
        <v>873.72124999999983</v>
      </c>
      <c r="G42" s="34">
        <f>IF(A42="","",_xlfn.MAXIFS('Final Project Dataset'!N$2:N$251,'Final Project Dataset'!C$2:C$251,A42))</f>
        <v>3499.95</v>
      </c>
      <c r="H42" s="108">
        <f>IF(A42="","",_xlfn.MINIFS('Final Project Dataset'!N$2:N$251,'Final Project Dataset'!C$2:C$251,A42))</f>
        <v>179.98</v>
      </c>
      <c r="I42" s="37" t="str">
        <f t="shared" si="0"/>
        <v>2️⃣ Medium Value</v>
      </c>
    </row>
    <row r="43" spans="1:9">
      <c r="A43" s="34" t="str">
        <f t="array" ref="A43">IFERROR(INDEX('Final Project Dataset'!C$2:C$251,MATCH(0,COUNTIF(A$1:A42,'Final Project Dataset'!C$2:C$251),0)),"")</f>
        <v>CUST034</v>
      </c>
      <c r="B43" s="34" t="str">
        <f>IF(A43="","",IFERROR(INDEX('Final Project Dataset'!D$2:D$251,MATCH(A43,'Final Project Dataset'!C$2:C$251,0)),""))</f>
        <v>Carol Evans</v>
      </c>
      <c r="C43" s="34" t="str">
        <f>IF(A43="","",IFERROR(INDEX('Final Project Dataset'!L$2:L$251,MATCH(A43,'Final Project Dataset'!C$2:C$251,0)),""))</f>
        <v>Premium</v>
      </c>
      <c r="D43" s="34">
        <f>IF(A43="","",COUNTIF('Final Project Dataset'!C$2:C$251,A43))</f>
        <v>3</v>
      </c>
      <c r="E43" s="34">
        <f>IF(A43="","",SUMIF('Final Project Dataset'!C$2:C$251,A43,'Final Project Dataset'!N$2:N$251))</f>
        <v>1149.93</v>
      </c>
      <c r="F43" s="34">
        <f>IF(A43="","",AVERAGEIF('Final Project Dataset'!C$2:C$251,A43,'Final Project Dataset'!N$2:N$251))</f>
        <v>383.31</v>
      </c>
      <c r="G43" s="34">
        <f>IF(A43="","",_xlfn.MAXIFS('Final Project Dataset'!N$2:N$251,'Final Project Dataset'!C$2:C$251,A43))</f>
        <v>449.97</v>
      </c>
      <c r="H43" s="108">
        <f>IF(A43="","",_xlfn.MINIFS('Final Project Dataset'!N$2:N$251,'Final Project Dataset'!C$2:C$251,A43))</f>
        <v>249.99</v>
      </c>
      <c r="I43" s="37" t="str">
        <f t="shared" si="0"/>
        <v>3️⃣ Low Value</v>
      </c>
    </row>
    <row r="44" spans="1:9">
      <c r="A44" s="34" t="str">
        <f t="array" ref="A44">IFERROR(INDEX('Final Project Dataset'!C$2:C$251,MATCH(0,COUNTIF(A$1:A43,'Final Project Dataset'!C$2:C$251),0)),"")</f>
        <v>CUST032</v>
      </c>
      <c r="B44" s="34" t="str">
        <f>IF(A44="","",IFERROR(INDEX('Final Project Dataset'!D$2:D$251,MATCH(A44,'Final Project Dataset'!C$2:C$251,0)),""))</f>
        <v>Sandra Phillips</v>
      </c>
      <c r="C44" s="34" t="str">
        <f>IF(A44="","",IFERROR(INDEX('Final Project Dataset'!L$2:L$251,MATCH(A44,'Final Project Dataset'!C$2:C$251,0)),""))</f>
        <v>Premium</v>
      </c>
      <c r="D44" s="34">
        <f>IF(A44="","",COUNTIF('Final Project Dataset'!C$2:C$251,A44))</f>
        <v>5</v>
      </c>
      <c r="E44" s="34">
        <f>IF(A44="","",SUMIF('Final Project Dataset'!C$2:C$251,A44,'Final Project Dataset'!N$2:N$251))</f>
        <v>6349.83</v>
      </c>
      <c r="F44" s="34">
        <f>IF(A44="","",AVERAGEIF('Final Project Dataset'!C$2:C$251,A44,'Final Project Dataset'!N$2:N$251))</f>
        <v>1269.9659999999999</v>
      </c>
      <c r="G44" s="34">
        <f>IF(A44="","",_xlfn.MAXIFS('Final Project Dataset'!N$2:N$251,'Final Project Dataset'!C$2:C$251,A44))</f>
        <v>2699.97</v>
      </c>
      <c r="H44" s="108">
        <f>IF(A44="","",_xlfn.MINIFS('Final Project Dataset'!N$2:N$251,'Final Project Dataset'!C$2:C$251,A44))</f>
        <v>599.96</v>
      </c>
      <c r="I44" s="37" t="str">
        <f t="shared" si="0"/>
        <v>2️⃣ Medium Value</v>
      </c>
    </row>
    <row r="45" spans="1:9">
      <c r="A45" s="34" t="str">
        <f t="array" ref="A45">IFERROR(INDEX('Final Project Dataset'!C$2:C$251,MATCH(0,COUNTIF(A$1:A44,'Final Project Dataset'!C$2:C$251),0)),"")</f>
        <v>CUST042</v>
      </c>
      <c r="B45" s="34" t="str">
        <f>IF(A45="","",IFERROR(INDEX('Final Project Dataset'!D$2:D$251,MATCH(A45,'Final Project Dataset'!C$2:C$251,0)),""))</f>
        <v>Ruth Brooks</v>
      </c>
      <c r="C45" s="34" t="str">
        <f>IF(A45="","",IFERROR(INDEX('Final Project Dataset'!L$2:L$251,MATCH(A45,'Final Project Dataset'!C$2:C$251,0)),""))</f>
        <v>Basic</v>
      </c>
      <c r="D45" s="34">
        <f>IF(A45="","",COUNTIF('Final Project Dataset'!C$2:C$251,A45))</f>
        <v>3</v>
      </c>
      <c r="E45" s="34">
        <f>IF(A45="","",SUMIF('Final Project Dataset'!C$2:C$251,A45,'Final Project Dataset'!N$2:N$251))</f>
        <v>1749.92</v>
      </c>
      <c r="F45" s="34">
        <f>IF(A45="","",AVERAGEIF('Final Project Dataset'!C$2:C$251,A45,'Final Project Dataset'!N$2:N$251))</f>
        <v>583.30666666666673</v>
      </c>
      <c r="G45" s="34">
        <f>IF(A45="","",_xlfn.MAXIFS('Final Project Dataset'!N$2:N$251,'Final Project Dataset'!C$2:C$251,A45))</f>
        <v>699.99</v>
      </c>
      <c r="H45" s="108">
        <f>IF(A45="","",_xlfn.MINIFS('Final Project Dataset'!N$2:N$251,'Final Project Dataset'!C$2:C$251,A45))</f>
        <v>449.97</v>
      </c>
      <c r="I45" s="37" t="str">
        <f t="shared" si="0"/>
        <v>3️⃣ Low Value</v>
      </c>
    </row>
    <row r="46" spans="1:9">
      <c r="A46" s="34" t="str">
        <f t="array" ref="A46">IFERROR(INDEX('Final Project Dataset'!C$2:C$251,MATCH(0,COUNTIF(A$1:A45,'Final Project Dataset'!C$2:C$251),0)),"")</f>
        <v>CUST011</v>
      </c>
      <c r="B46" s="34" t="str">
        <f>IF(A46="","",IFERROR(INDEX('Final Project Dataset'!D$2:D$251,MATCH(A46,'Final Project Dataset'!C$2:C$251,0)),""))</f>
        <v>William White</v>
      </c>
      <c r="C46" s="34" t="str">
        <f>IF(A46="","",IFERROR(INDEX('Final Project Dataset'!L$2:L$251,MATCH(A46,'Final Project Dataset'!C$2:C$251,0)),""))</f>
        <v>Standard</v>
      </c>
      <c r="D46" s="34">
        <f>IF(A46="","",COUNTIF('Final Project Dataset'!C$2:C$251,A46))</f>
        <v>3</v>
      </c>
      <c r="E46" s="34">
        <f>IF(A46="","",SUMIF('Final Project Dataset'!C$2:C$251,A46,'Final Project Dataset'!N$2:N$251))</f>
        <v>4749.91</v>
      </c>
      <c r="F46" s="34">
        <f>IF(A46="","",AVERAGEIF('Final Project Dataset'!C$2:C$251,A46,'Final Project Dataset'!N$2:N$251))</f>
        <v>1583.3033333333333</v>
      </c>
      <c r="G46" s="34">
        <f>IF(A46="","",_xlfn.MAXIFS('Final Project Dataset'!N$2:N$251,'Final Project Dataset'!C$2:C$251,A46))</f>
        <v>3599.96</v>
      </c>
      <c r="H46" s="108">
        <f>IF(A46="","",_xlfn.MINIFS('Final Project Dataset'!N$2:N$251,'Final Project Dataset'!C$2:C$251,A46))</f>
        <v>149.99</v>
      </c>
      <c r="I46" s="37" t="str">
        <f t="shared" si="0"/>
        <v>3️⃣ Low Value</v>
      </c>
    </row>
    <row r="47" spans="1:9">
      <c r="A47" s="34" t="str">
        <f t="array" ref="A47">IFERROR(INDEX('Final Project Dataset'!C$2:C$251,MATCH(0,COUNTIF(A$1:A46,'Final Project Dataset'!C$2:C$251),0)),"")</f>
        <v>CUST015</v>
      </c>
      <c r="B47" s="34" t="str">
        <f>IF(A47="","",IFERROR(INDEX('Final Project Dataset'!D$2:D$251,MATCH(A47,'Final Project Dataset'!C$2:C$251,0)),""))</f>
        <v>Richard Lee</v>
      </c>
      <c r="C47" s="34" t="str">
        <f>IF(A47="","",IFERROR(INDEX('Final Project Dataset'!L$2:L$251,MATCH(A47,'Final Project Dataset'!C$2:C$251,0)),""))</f>
        <v>Standard</v>
      </c>
      <c r="D47" s="34">
        <f>IF(A47="","",COUNTIF('Final Project Dataset'!C$2:C$251,A47))</f>
        <v>3</v>
      </c>
      <c r="E47" s="34">
        <f>IF(A47="","",SUMIF('Final Project Dataset'!C$2:C$251,A47,'Final Project Dataset'!N$2:N$251))</f>
        <v>739.93000000000006</v>
      </c>
      <c r="F47" s="34">
        <f>IF(A47="","",AVERAGEIF('Final Project Dataset'!C$2:C$251,A47,'Final Project Dataset'!N$2:N$251))</f>
        <v>246.64333333333335</v>
      </c>
      <c r="G47" s="34">
        <f>IF(A47="","",_xlfn.MAXIFS('Final Project Dataset'!N$2:N$251,'Final Project Dataset'!C$2:C$251,A47))</f>
        <v>299.98</v>
      </c>
      <c r="H47" s="108">
        <f>IF(A47="","",_xlfn.MINIFS('Final Project Dataset'!N$2:N$251,'Final Project Dataset'!C$2:C$251,A47))</f>
        <v>199.99</v>
      </c>
      <c r="I47" s="37" t="str">
        <f t="shared" si="0"/>
        <v>3️⃣ Low Value</v>
      </c>
    </row>
    <row r="48" spans="1:9">
      <c r="A48" s="34" t="str">
        <f t="array" ref="A48">IFERROR(INDEX('Final Project Dataset'!C$2:C$251,MATCH(0,COUNTIF(A$1:A47,'Final Project Dataset'!C$2:C$251),0)),"")</f>
        <v>CUST045</v>
      </c>
      <c r="B48" s="34" t="str">
        <f>IF(A48="","",IFERROR(INDEX('Final Project Dataset'!D$2:D$251,MATCH(A48,'Final Project Dataset'!C$2:C$251,0)),""))</f>
        <v>Douglas Watson</v>
      </c>
      <c r="C48" s="34" t="str">
        <f>IF(A48="","",IFERROR(INDEX('Final Project Dataset'!L$2:L$251,MATCH(A48,'Final Project Dataset'!C$2:C$251,0)),""))</f>
        <v>Basic</v>
      </c>
      <c r="D48" s="34">
        <f>IF(A48="","",COUNTIF('Final Project Dataset'!C$2:C$251,A48))</f>
        <v>4</v>
      </c>
      <c r="E48" s="34">
        <f>IF(A48="","",SUMIF('Final Project Dataset'!C$2:C$251,A48,'Final Project Dataset'!N$2:N$251))</f>
        <v>4829.8899999999994</v>
      </c>
      <c r="F48" s="34">
        <f>IF(A48="","",AVERAGEIF('Final Project Dataset'!C$2:C$251,A48,'Final Project Dataset'!N$2:N$251))</f>
        <v>1207.4724999999999</v>
      </c>
      <c r="G48" s="34">
        <f>IF(A48="","",_xlfn.MAXIFS('Final Project Dataset'!N$2:N$251,'Final Project Dataset'!C$2:C$251,A48))</f>
        <v>2099.9699999999998</v>
      </c>
      <c r="H48" s="108">
        <f>IF(A48="","",_xlfn.MINIFS('Final Project Dataset'!N$2:N$251,'Final Project Dataset'!C$2:C$251,A48))</f>
        <v>79.989999999999995</v>
      </c>
      <c r="I48" s="37" t="str">
        <f t="shared" si="0"/>
        <v>3️⃣ Low Value</v>
      </c>
    </row>
    <row r="49" spans="1:9">
      <c r="A49" s="34" t="str">
        <f t="array" ref="A49">IFERROR(INDEX('Final Project Dataset'!C$2:C$251,MATCH(0,COUNTIF(A$1:A48,'Final Project Dataset'!C$2:C$251),0)),"")</f>
        <v>CUST005</v>
      </c>
      <c r="B49" s="34" t="str">
        <f>IF(A49="","",IFERROR(INDEX('Final Project Dataset'!D$2:D$251,MATCH(A49,'Final Project Dataset'!C$2:C$251,0)),""))</f>
        <v>James Johnson</v>
      </c>
      <c r="C49" s="34" t="str">
        <f>IF(A49="","",IFERROR(INDEX('Final Project Dataset'!L$2:L$251,MATCH(A49,'Final Project Dataset'!C$2:C$251,0)),""))</f>
        <v>Premium</v>
      </c>
      <c r="D49" s="34">
        <f>IF(A49="","",COUNTIF('Final Project Dataset'!C$2:C$251,A49))</f>
        <v>1</v>
      </c>
      <c r="E49" s="34">
        <f>IF(A49="","",SUMIF('Final Project Dataset'!C$2:C$251,A49,'Final Project Dataset'!N$2:N$251))</f>
        <v>179.97</v>
      </c>
      <c r="F49" s="34">
        <f>IF(A49="","",AVERAGEIF('Final Project Dataset'!C$2:C$251,A49,'Final Project Dataset'!N$2:N$251))</f>
        <v>179.97</v>
      </c>
      <c r="G49" s="34">
        <f>IF(A49="","",_xlfn.MAXIFS('Final Project Dataset'!N$2:N$251,'Final Project Dataset'!C$2:C$251,A49))</f>
        <v>179.97</v>
      </c>
      <c r="H49" s="108">
        <f>IF(A49="","",_xlfn.MINIFS('Final Project Dataset'!N$2:N$251,'Final Project Dataset'!C$2:C$251,A49))</f>
        <v>179.97</v>
      </c>
      <c r="I49" s="37" t="str">
        <f t="shared" si="0"/>
        <v>3️⃣ Low Value</v>
      </c>
    </row>
    <row r="50" spans="1:9">
      <c r="A50" s="34" t="str">
        <f t="array" ref="A50">IFERROR(INDEX('Final Project Dataset'!C$2:C$251,MATCH(0,COUNTIF(A$1:A49,'Final Project Dataset'!C$2:C$251),0)),"")</f>
        <v>CUST037</v>
      </c>
      <c r="B50" s="34" t="str">
        <f>IF(A50="","",IFERROR(INDEX('Final Project Dataset'!D$2:D$251,MATCH(A50,'Final Project Dataset'!C$2:C$251,0)),""))</f>
        <v>Arthur Edwards</v>
      </c>
      <c r="C50" s="34" t="str">
        <f>IF(A50="","",IFERROR(INDEX('Final Project Dataset'!L$2:L$251,MATCH(A50,'Final Project Dataset'!C$2:C$251,0)),""))</f>
        <v>Standard</v>
      </c>
      <c r="D50" s="34">
        <f>IF(A50="","",COUNTIF('Final Project Dataset'!C$2:C$251,A50))</f>
        <v>3</v>
      </c>
      <c r="E50" s="34">
        <f>IF(A50="","",SUMIF('Final Project Dataset'!C$2:C$251,A50,'Final Project Dataset'!N$2:N$251))</f>
        <v>1559.94</v>
      </c>
      <c r="F50" s="34">
        <f>IF(A50="","",AVERAGEIF('Final Project Dataset'!C$2:C$251,A50,'Final Project Dataset'!N$2:N$251))</f>
        <v>519.98</v>
      </c>
      <c r="G50" s="34">
        <f>IF(A50="","",_xlfn.MAXIFS('Final Project Dataset'!N$2:N$251,'Final Project Dataset'!C$2:C$251,A50))</f>
        <v>899.99</v>
      </c>
      <c r="H50" s="108">
        <f>IF(A50="","",_xlfn.MINIFS('Final Project Dataset'!N$2:N$251,'Final Project Dataset'!C$2:C$251,A50))</f>
        <v>59.99</v>
      </c>
      <c r="I50" s="37" t="str">
        <f t="shared" si="0"/>
        <v>3️⃣ Low Value</v>
      </c>
    </row>
    <row r="51" spans="1:9">
      <c r="A51" s="34" t="str">
        <f t="array" ref="A51">IFERROR(INDEX('Final Project Dataset'!C$2:C$251,MATCH(0,COUNTIF(A$1:A50,'Final Project Dataset'!C$2:C$251),0)),"")</f>
        <v>CUST001</v>
      </c>
      <c r="B51" s="34" t="str">
        <f>IF(A51="","",IFERROR(INDEX('Final Project Dataset'!D$2:D$251,MATCH(A51,'Final Project Dataset'!C$2:C$251,0)),""))</f>
        <v>John Smith</v>
      </c>
      <c r="C51" s="34" t="str">
        <f>IF(A51="","",IFERROR(INDEX('Final Project Dataset'!L$2:L$251,MATCH(A51,'Final Project Dataset'!C$2:C$251,0)),""))</f>
        <v>Standard</v>
      </c>
      <c r="D51" s="34">
        <f>IF(A51="","",COUNTIF('Final Project Dataset'!C$2:C$251,A51))</f>
        <v>1</v>
      </c>
      <c r="E51" s="34">
        <f>IF(A51="","",SUMIF('Final Project Dataset'!C$2:C$251,A51,'Final Project Dataset'!N$2:N$251))</f>
        <v>599.96</v>
      </c>
      <c r="F51" s="34">
        <f>IF(A51="","",AVERAGEIF('Final Project Dataset'!C$2:C$251,A51,'Final Project Dataset'!N$2:N$251))</f>
        <v>599.96</v>
      </c>
      <c r="G51" s="34">
        <f>IF(A51="","",_xlfn.MAXIFS('Final Project Dataset'!N$2:N$251,'Final Project Dataset'!C$2:C$251,A51))</f>
        <v>599.96</v>
      </c>
      <c r="H51" s="108">
        <f>IF(A51="","",_xlfn.MINIFS('Final Project Dataset'!N$2:N$251,'Final Project Dataset'!C$2:C$251,A51))</f>
        <v>599.96</v>
      </c>
      <c r="I51" s="37" t="str">
        <f t="shared" si="0"/>
        <v>3️⃣ Low Value</v>
      </c>
    </row>
  </sheetData>
  <mergeCells count="1">
    <mergeCell ref="K1:L1"/>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96F23-B45D-4347-8DFB-33CC3313BFC6}">
  <dimension ref="A1:H64"/>
  <sheetViews>
    <sheetView view="pageBreakPreview" zoomScale="60" zoomScaleNormal="100" workbookViewId="0"/>
  </sheetViews>
  <sheetFormatPr defaultRowHeight="14.4"/>
  <cols>
    <col min="1" max="1" width="15.109375" bestFit="1" customWidth="1"/>
    <col min="2" max="2" width="14.33203125" customWidth="1"/>
    <col min="3" max="3" width="14.5546875" bestFit="1" customWidth="1"/>
    <col min="4" max="4" width="13.109375" bestFit="1" customWidth="1"/>
    <col min="7" max="7" width="24.109375" bestFit="1" customWidth="1"/>
    <col min="8" max="8" width="12.21875" bestFit="1" customWidth="1"/>
  </cols>
  <sheetData>
    <row r="1" spans="1:8" ht="15.6">
      <c r="A1" s="14" t="s">
        <v>6</v>
      </c>
      <c r="B1" s="14" t="s">
        <v>562</v>
      </c>
      <c r="C1" s="14" t="s">
        <v>14</v>
      </c>
      <c r="D1" s="14" t="s">
        <v>546</v>
      </c>
      <c r="E1" s="14" t="s">
        <v>559</v>
      </c>
      <c r="G1" s="132" t="s">
        <v>563</v>
      </c>
      <c r="H1" s="132"/>
    </row>
    <row r="2" spans="1:8">
      <c r="A2" s="106" t="s">
        <v>63</v>
      </c>
      <c r="B2" s="34">
        <f>COUNTIF('Final Project Dataset'!F2:F251,A2)</f>
        <v>24</v>
      </c>
      <c r="C2" s="34">
        <f>SUMIF('Final Project Dataset'!F2:F251,A2,'Final Project Dataset'!N2:N251)</f>
        <v>67499.25</v>
      </c>
      <c r="D2" s="34">
        <f>AVERAGEIF('Final Project Dataset'!F2:F251,A2,'Final Project Dataset'!N2:N251)</f>
        <v>2812.46875</v>
      </c>
      <c r="E2" s="34">
        <f>RANK(B2,$B$2:$B$11,0)</f>
        <v>6</v>
      </c>
      <c r="G2" s="106" t="s">
        <v>564</v>
      </c>
      <c r="H2" s="106" t="str">
        <f>INDEX(A2:A11,MATCH(MAX(B2:B11),B2:B11,0))</f>
        <v>Keyboard</v>
      </c>
    </row>
    <row r="3" spans="1:8">
      <c r="A3" s="106" t="s">
        <v>82</v>
      </c>
      <c r="B3" s="34">
        <f>COUNTIF('Final Project Dataset'!F3:F252,A3)</f>
        <v>31</v>
      </c>
      <c r="C3" s="34">
        <f>SUMIF('Final Project Dataset'!F3:F252,A3,'Final Project Dataset'!N3:N252)</f>
        <v>67199.039999999994</v>
      </c>
      <c r="D3" s="34">
        <f>AVERAGEIF('Final Project Dataset'!F3:F252,A3,'Final Project Dataset'!N3:N252)</f>
        <v>2167.7109677419353</v>
      </c>
      <c r="E3" s="34">
        <f t="shared" ref="E3:E11" si="0">RANK(B3,$B$2:$B$11,0)</f>
        <v>3</v>
      </c>
      <c r="G3" s="106" t="s">
        <v>565</v>
      </c>
      <c r="H3" s="106">
        <f>MAX(B2:B11)</f>
        <v>34</v>
      </c>
    </row>
    <row r="4" spans="1:8">
      <c r="A4" s="106" t="s">
        <v>54</v>
      </c>
      <c r="B4" s="34">
        <f>COUNTIF('Final Project Dataset'!F4:F253,A4)</f>
        <v>16</v>
      </c>
      <c r="C4" s="34">
        <f>SUMIF('Final Project Dataset'!F4:F253,A4,'Final Project Dataset'!N4:N253)</f>
        <v>7049.5299999999988</v>
      </c>
      <c r="D4" s="34">
        <f>AVERAGEIF('Final Project Dataset'!F4:F253,A4,'Final Project Dataset'!N4:N253)</f>
        <v>440.59562499999993</v>
      </c>
      <c r="E4" s="34">
        <f t="shared" si="0"/>
        <v>8</v>
      </c>
      <c r="G4" s="106" t="s">
        <v>566</v>
      </c>
      <c r="H4" s="106" t="str">
        <f>INDEX(A2:A11,MATCH(MIN(B2:B11),B2:B11,0))</f>
        <v>Coffee Maker</v>
      </c>
    </row>
    <row r="5" spans="1:8">
      <c r="A5" s="106" t="s">
        <v>19</v>
      </c>
      <c r="B5" s="34">
        <f>COUNTIF('Final Project Dataset'!F5:F254,A5)</f>
        <v>24</v>
      </c>
      <c r="C5" s="34">
        <f>SUMIF('Final Project Dataset'!F5:F254,A5,'Final Project Dataset'!N5:N254)</f>
        <v>20499.18</v>
      </c>
      <c r="D5" s="34">
        <f>AVERAGEIF('Final Project Dataset'!F5:F254,A5,'Final Project Dataset'!N5:N254)</f>
        <v>854.13250000000005</v>
      </c>
      <c r="E5" s="34">
        <f t="shared" si="0"/>
        <v>6</v>
      </c>
      <c r="G5" s="106" t="s">
        <v>567</v>
      </c>
      <c r="H5" s="106">
        <f>MIN(B2:B11)</f>
        <v>14</v>
      </c>
    </row>
    <row r="6" spans="1:8">
      <c r="A6" s="106" t="s">
        <v>119</v>
      </c>
      <c r="B6" s="34">
        <f>COUNTIF('Final Project Dataset'!F6:F255,A6)</f>
        <v>34</v>
      </c>
      <c r="C6" s="34">
        <f>SUMIF('Final Project Dataset'!F6:F255,A6,'Final Project Dataset'!N6:N255)</f>
        <v>8009.1099999999969</v>
      </c>
      <c r="D6" s="34">
        <f>AVERAGEIF('Final Project Dataset'!F6:F255,A6,'Final Project Dataset'!N6:N255)</f>
        <v>235.56205882352933</v>
      </c>
      <c r="E6" s="34">
        <f t="shared" si="0"/>
        <v>1</v>
      </c>
      <c r="G6" s="106" t="s">
        <v>568</v>
      </c>
      <c r="H6" s="106" t="str">
        <f>INDEX(A2:A11,MATCH(MAX(C2:C11),C2:C11,0))</f>
        <v>Laptop</v>
      </c>
    </row>
    <row r="7" spans="1:8">
      <c r="A7" s="106" t="s">
        <v>116</v>
      </c>
      <c r="B7" s="34">
        <f>COUNTIF('Final Project Dataset'!F7:F256,A7)</f>
        <v>14</v>
      </c>
      <c r="C7" s="34">
        <f>SUMIF('Final Project Dataset'!F7:F256,A7,'Final Project Dataset'!N7:N256)</f>
        <v>3119.6099999999992</v>
      </c>
      <c r="D7" s="34">
        <f>AVERAGEIF('Final Project Dataset'!F7:F256,A7,'Final Project Dataset'!N7:N256)</f>
        <v>222.82928571428565</v>
      </c>
      <c r="E7" s="34">
        <f t="shared" si="0"/>
        <v>10</v>
      </c>
      <c r="G7" s="106" t="s">
        <v>569</v>
      </c>
      <c r="H7" s="106">
        <f>MAX(C2:C11)</f>
        <v>67499.25</v>
      </c>
    </row>
    <row r="8" spans="1:8">
      <c r="A8" s="106" t="s">
        <v>33</v>
      </c>
      <c r="B8" s="34">
        <f>COUNTIF('Final Project Dataset'!F8:F257,A8)</f>
        <v>26</v>
      </c>
      <c r="C8" s="34">
        <f>SUMIF('Final Project Dataset'!F8:F257,A8,'Final Project Dataset'!N8:N257)</f>
        <v>4739.2099999999982</v>
      </c>
      <c r="D8" s="34">
        <f>AVERAGEIF('Final Project Dataset'!F8:F257,A8,'Final Project Dataset'!N8:N257)</f>
        <v>182.27730769230763</v>
      </c>
      <c r="E8" s="34">
        <f t="shared" si="0"/>
        <v>4</v>
      </c>
      <c r="G8" s="106" t="s">
        <v>570</v>
      </c>
      <c r="H8" s="106" t="str">
        <f>INDEX(A2:A11,MATCH(MAX(D2:D11),D2:D11,0))</f>
        <v>Laptop</v>
      </c>
    </row>
    <row r="9" spans="1:8">
      <c r="A9" s="106" t="s">
        <v>128</v>
      </c>
      <c r="B9" s="34">
        <f>COUNTIF('Final Project Dataset'!F9:F258,A9)</f>
        <v>15</v>
      </c>
      <c r="C9" s="34">
        <f>SUMIF('Final Project Dataset'!F9:F258,A9,'Final Project Dataset'!N9:N258)</f>
        <v>10399.479999999998</v>
      </c>
      <c r="D9" s="34">
        <f>AVERAGEIF('Final Project Dataset'!F9:F258,A9,'Final Project Dataset'!N9:N258)</f>
        <v>693.29866666666646</v>
      </c>
      <c r="E9" s="34">
        <f t="shared" si="0"/>
        <v>9</v>
      </c>
      <c r="G9" s="104"/>
      <c r="H9" s="104"/>
    </row>
    <row r="10" spans="1:8">
      <c r="A10" s="106" t="s">
        <v>107</v>
      </c>
      <c r="B10" s="34">
        <f>COUNTIF('Final Project Dataset'!F10:F259,A10)</f>
        <v>26</v>
      </c>
      <c r="C10" s="34">
        <f>SUMIF('Final Project Dataset'!F10:F259,A10,'Final Project Dataset'!N10:N259)</f>
        <v>23399.22</v>
      </c>
      <c r="D10" s="34">
        <f>AVERAGEIF('Final Project Dataset'!F10:F259,A10,'Final Project Dataset'!N10:N259)</f>
        <v>899.97</v>
      </c>
      <c r="E10" s="34">
        <f t="shared" si="0"/>
        <v>4</v>
      </c>
      <c r="G10" s="106" t="s">
        <v>574</v>
      </c>
      <c r="H10" s="106" t="str">
        <f>INDEX(A15:A64,MATCH(MAX(B15:B64),B15:B64,0))</f>
        <v>Mark Carter</v>
      </c>
    </row>
    <row r="11" spans="1:8">
      <c r="A11" s="106" t="s">
        <v>46</v>
      </c>
      <c r="B11" s="34">
        <f>COUNTIF('Final Project Dataset'!F11:F260,A11)</f>
        <v>34</v>
      </c>
      <c r="C11" s="34">
        <f>SUMIF('Final Project Dataset'!F11:F260,A11,'Final Project Dataset'!N11:N260)</f>
        <v>14549.029999999993</v>
      </c>
      <c r="D11" s="34">
        <f>AVERAGEIF('Final Project Dataset'!F11:F260,A11,'Final Project Dataset'!N11:N260)</f>
        <v>427.91264705882332</v>
      </c>
      <c r="E11" s="34">
        <f t="shared" si="0"/>
        <v>1</v>
      </c>
      <c r="G11" s="106" t="s">
        <v>575</v>
      </c>
      <c r="H11" s="106">
        <f>MAX(B15:B64)</f>
        <v>12</v>
      </c>
    </row>
    <row r="12" spans="1:8">
      <c r="G12" s="106" t="s">
        <v>573</v>
      </c>
      <c r="H12" s="106">
        <f>SUMIF(A15:A64,H10,C15:C64)</f>
        <v>15659.65</v>
      </c>
    </row>
    <row r="13" spans="1:8" ht="15.6">
      <c r="A13" s="132" t="s">
        <v>571</v>
      </c>
      <c r="B13" s="132"/>
      <c r="C13" s="132"/>
    </row>
    <row r="14" spans="1:8">
      <c r="A14" s="107" t="s">
        <v>4</v>
      </c>
      <c r="B14" s="107" t="s">
        <v>572</v>
      </c>
      <c r="C14" s="107" t="s">
        <v>573</v>
      </c>
    </row>
    <row r="15" spans="1:8">
      <c r="A15" s="34" t="str" cm="1">
        <f t="array" ref="A15">IFERROR(INDEX('Final Project Dataset'!D$2:D$251,MATCH(0,COUNTIF(A$14:A14,'Final Project Dataset'!D$2:D$251),0)),"")</f>
        <v>Paul Baker</v>
      </c>
      <c r="B15" s="34">
        <f>IF(A15="","",COUNTIF('Final Project Dataset'!D$2:D$251,A15))</f>
        <v>8</v>
      </c>
      <c r="C15" s="34">
        <f>IF(A15="","",SUMIF('Final Project Dataset'!D$2:D$251,A15,'Final Project Dataset'!N$2:N$251))</f>
        <v>8309.739999999998</v>
      </c>
    </row>
    <row r="16" spans="1:8">
      <c r="A16" s="34" t="str" cm="1">
        <f t="array" ref="A16">IFERROR(INDEX('Final Project Dataset'!D$2:D$251,MATCH(0,COUNTIF(A$14:A15,'Final Project Dataset'!D$2:D$251),0)),"")</f>
        <v>Joseph Jackson</v>
      </c>
      <c r="B16" s="34">
        <f>IF(A16="","",COUNTIF('Final Project Dataset'!D$2:D$251,A16))</f>
        <v>5</v>
      </c>
      <c r="C16" s="34">
        <f>IF(A16="","",SUMIF('Final Project Dataset'!D$2:D$251,A16,'Final Project Dataset'!N$2:N$251))</f>
        <v>6949.84</v>
      </c>
    </row>
    <row r="17" spans="1:3">
      <c r="A17" s="34" t="str" cm="1">
        <f t="array" ref="A17">IFERROR(INDEX('Final Project Dataset'!D$2:D$251,MATCH(0,COUNTIF(A$14:A16,'Final Project Dataset'!D$2:D$251),0)),"")</f>
        <v>Kevin Scott</v>
      </c>
      <c r="B17" s="34">
        <f>IF(A17="","",COUNTIF('Final Project Dataset'!D$2:D$251,A17))</f>
        <v>6</v>
      </c>
      <c r="C17" s="34">
        <f>IF(A17="","",SUMIF('Final Project Dataset'!D$2:D$251,A17,'Final Project Dataset'!N$2:N$251))</f>
        <v>3259.87</v>
      </c>
    </row>
    <row r="18" spans="1:3">
      <c r="A18" s="34" t="str" cm="1">
        <f t="array" ref="A18">IFERROR(INDEX('Final Project Dataset'!D$2:D$251,MATCH(0,COUNTIF(A$14:A17,'Final Project Dataset'!D$2:D$251),0)),"")</f>
        <v>Kathleen Bennett</v>
      </c>
      <c r="B18" s="34">
        <f>IF(A18="","",COUNTIF('Final Project Dataset'!D$2:D$251,A18))</f>
        <v>6</v>
      </c>
      <c r="C18" s="34">
        <f>IF(A18="","",SUMIF('Final Project Dataset'!D$2:D$251,A18,'Final Project Dataset'!N$2:N$251))</f>
        <v>4309.8099999999995</v>
      </c>
    </row>
    <row r="19" spans="1:3">
      <c r="A19" s="34" t="str" cm="1">
        <f t="array" ref="A19">IFERROR(INDEX('Final Project Dataset'!D$2:D$251,MATCH(0,COUNTIF(A$14:A18,'Final Project Dataset'!D$2:D$251),0)),"")</f>
        <v>Michael Brown</v>
      </c>
      <c r="B19" s="34">
        <f>IF(A19="","",COUNTIF('Final Project Dataset'!D$2:D$251,A19))</f>
        <v>9</v>
      </c>
      <c r="C19" s="34">
        <f>IF(A19="","",SUMIF('Final Project Dataset'!D$2:D$251,A19,'Final Project Dataset'!N$2:N$251))</f>
        <v>6169.7400000000007</v>
      </c>
    </row>
    <row r="20" spans="1:3">
      <c r="A20" s="34" t="str" cm="1">
        <f t="array" ref="A20">IFERROR(INDEX('Final Project Dataset'!D$2:D$251,MATCH(0,COUNTIF(A$14:A19,'Final Project Dataset'!D$2:D$251),0)),"")</f>
        <v>Dorothy Nelson</v>
      </c>
      <c r="B20" s="34">
        <f>IF(A20="","",COUNTIF('Final Project Dataset'!D$2:D$251,A20))</f>
        <v>6</v>
      </c>
      <c r="C20" s="34">
        <f>IF(A20="","",SUMIF('Final Project Dataset'!D$2:D$251,A20,'Final Project Dataset'!N$2:N$251))</f>
        <v>8269.7900000000009</v>
      </c>
    </row>
    <row r="21" spans="1:3">
      <c r="A21" s="34" t="str" cm="1">
        <f t="array" ref="A21">IFERROR(INDEX('Final Project Dataset'!D$2:D$251,MATCH(0,COUNTIF(A$14:A20,'Final Project Dataset'!D$2:D$251),0)),"")</f>
        <v>Charles Allen</v>
      </c>
      <c r="B21" s="34">
        <f>IF(A21="","",COUNTIF('Final Project Dataset'!D$2:D$251,A21))</f>
        <v>9</v>
      </c>
      <c r="C21" s="34">
        <f>IF(A21="","",SUMIF('Final Project Dataset'!D$2:D$251,A21,'Final Project Dataset'!N$2:N$251))</f>
        <v>5089.7300000000005</v>
      </c>
    </row>
    <row r="22" spans="1:3">
      <c r="A22" s="34" t="str" cm="1">
        <f t="array" ref="A22">IFERROR(INDEX('Final Project Dataset'!D$2:D$251,MATCH(0,COUNTIF(A$14:A21,'Final Project Dataset'!D$2:D$251),0)),"")</f>
        <v>Robert Thomas</v>
      </c>
      <c r="B22" s="34">
        <f>IF(A22="","",COUNTIF('Final Project Dataset'!D$2:D$251,A22))</f>
        <v>5</v>
      </c>
      <c r="C22" s="34">
        <f>IF(A22="","",SUMIF('Final Project Dataset'!D$2:D$251,A22,'Final Project Dataset'!N$2:N$251))</f>
        <v>3509.8999999999996</v>
      </c>
    </row>
    <row r="23" spans="1:3">
      <c r="A23" s="34" t="str" cm="1">
        <f t="array" ref="A23">IFERROR(INDEX('Final Project Dataset'!D$2:D$251,MATCH(0,COUNTIF(A$14:A22,'Final Project Dataset'!D$2:D$251),0)),"")</f>
        <v>Karen Hill</v>
      </c>
      <c r="B23" s="34">
        <f>IF(A23="","",COUNTIF('Final Project Dataset'!D$2:D$251,A23))</f>
        <v>8</v>
      </c>
      <c r="C23" s="34">
        <f>IF(A23="","",SUMIF('Final Project Dataset'!D$2:D$251,A23,'Final Project Dataset'!N$2:N$251))</f>
        <v>8009.7699999999995</v>
      </c>
    </row>
    <row r="24" spans="1:3">
      <c r="A24" s="34" t="str" cm="1">
        <f t="array" ref="A24">IFERROR(INDEX('Final Project Dataset'!D$2:D$251,MATCH(0,COUNTIF(A$14:A23,'Final Project Dataset'!D$2:D$251),0)),"")</f>
        <v>Susan Green</v>
      </c>
      <c r="B24" s="34">
        <f>IF(A24="","",COUNTIF('Final Project Dataset'!D$2:D$251,A24))</f>
        <v>4</v>
      </c>
      <c r="C24" s="34">
        <f>IF(A24="","",SUMIF('Final Project Dataset'!D$2:D$251,A24,'Final Project Dataset'!N$2:N$251))</f>
        <v>1979.89</v>
      </c>
    </row>
    <row r="25" spans="1:3">
      <c r="A25" s="34" t="str" cm="1">
        <f t="array" ref="A25">IFERROR(INDEX('Final Project Dataset'!D$2:D$251,MATCH(0,COUNTIF(A$14:A24,'Final Project Dataset'!D$2:D$251),0)),"")</f>
        <v>Peter Richardson</v>
      </c>
      <c r="B25" s="34">
        <f>IF(A25="","",COUNTIF('Final Project Dataset'!D$2:D$251,A25))</f>
        <v>5</v>
      </c>
      <c r="C25" s="34">
        <f>IF(A25="","",SUMIF('Final Project Dataset'!D$2:D$251,A25,'Final Project Dataset'!N$2:N$251))</f>
        <v>5949.85</v>
      </c>
    </row>
    <row r="26" spans="1:3">
      <c r="A26" s="34" t="str" cm="1">
        <f t="array" ref="A26">IFERROR(INDEX('Final Project Dataset'!D$2:D$251,MATCH(0,COUNTIF(A$14:A25,'Final Project Dataset'!D$2:D$251),0)),"")</f>
        <v>Dennis Gray</v>
      </c>
      <c r="B26" s="34">
        <f>IF(A26="","",COUNTIF('Final Project Dataset'!D$2:D$251,A26))</f>
        <v>2</v>
      </c>
      <c r="C26" s="34">
        <f>IF(A26="","",SUMIF('Final Project Dataset'!D$2:D$251,A26,'Final Project Dataset'!N$2:N$251))</f>
        <v>479.91999999999996</v>
      </c>
    </row>
    <row r="27" spans="1:3">
      <c r="A27" s="34" t="str" cm="1">
        <f t="array" ref="A27">IFERROR(INDEX('Final Project Dataset'!D$2:D$251,MATCH(0,COUNTIF(A$14:A26,'Final Project Dataset'!D$2:D$251),0)),"")</f>
        <v>Michelle Rogers</v>
      </c>
      <c r="B27" s="34">
        <f>IF(A27="","",COUNTIF('Final Project Dataset'!D$2:D$251,A27))</f>
        <v>2</v>
      </c>
      <c r="C27" s="34">
        <f>IF(A27="","",SUMIF('Final Project Dataset'!D$2:D$251,A27,'Final Project Dataset'!N$2:N$251))</f>
        <v>4199.9399999999996</v>
      </c>
    </row>
    <row r="28" spans="1:3">
      <c r="A28" s="34" t="str" cm="1">
        <f t="array" ref="A28">IFERROR(INDEX('Final Project Dataset'!D$2:D$251,MATCH(0,COUNTIF(A$14:A27,'Final Project Dataset'!D$2:D$251),0)),"")</f>
        <v>George Adams</v>
      </c>
      <c r="B28" s="34">
        <f>IF(A28="","",COUNTIF('Final Project Dataset'!D$2:D$251,A28))</f>
        <v>3</v>
      </c>
      <c r="C28" s="34">
        <f>IF(A28="","",SUMIF('Final Project Dataset'!D$2:D$251,A28,'Final Project Dataset'!N$2:N$251))</f>
        <v>3779.93</v>
      </c>
    </row>
    <row r="29" spans="1:3">
      <c r="A29" s="34" t="str" cm="1">
        <f t="array" ref="A29">IFERROR(INDEX('Final Project Dataset'!D$2:D$251,MATCH(0,COUNTIF(A$14:A28,'Final Project Dataset'!D$2:D$251),0)),"")</f>
        <v>Mark Carter</v>
      </c>
      <c r="B29" s="34">
        <f>IF(A29="","",COUNTIF('Final Project Dataset'!D$2:D$251,A29))</f>
        <v>12</v>
      </c>
      <c r="C29" s="34">
        <f>IF(A29="","",SUMIF('Final Project Dataset'!D$2:D$251,A29,'Final Project Dataset'!N$2:N$251))</f>
        <v>15659.65</v>
      </c>
    </row>
    <row r="30" spans="1:3">
      <c r="A30" s="34" t="str" cm="1">
        <f t="array" ref="A30">IFERROR(INDEX('Final Project Dataset'!D$2:D$251,MATCH(0,COUNTIF(A$14:A29,'Final Project Dataset'!D$2:D$251),0)),"")</f>
        <v>Maria Garcia</v>
      </c>
      <c r="B30" s="34">
        <f>IF(A30="","",COUNTIF('Final Project Dataset'!D$2:D$251,A30))</f>
        <v>4</v>
      </c>
      <c r="C30" s="34">
        <f>IF(A30="","",SUMIF('Final Project Dataset'!D$2:D$251,A30,'Final Project Dataset'!N$2:N$251))</f>
        <v>1909.93</v>
      </c>
    </row>
    <row r="31" spans="1:3">
      <c r="A31" s="34" t="str" cm="1">
        <f t="array" ref="A31">IFERROR(INDEX('Final Project Dataset'!D$2:D$251,MATCH(0,COUNTIF(A$14:A30,'Final Project Dataset'!D$2:D$251),0)),"")</f>
        <v>Virginia Sanders</v>
      </c>
      <c r="B31" s="34">
        <f>IF(A31="","",COUNTIF('Final Project Dataset'!D$2:D$251,A31))</f>
        <v>6</v>
      </c>
      <c r="C31" s="34">
        <f>IF(A31="","",SUMIF('Final Project Dataset'!D$2:D$251,A31,'Final Project Dataset'!N$2:N$251))</f>
        <v>4789.7900000000009</v>
      </c>
    </row>
    <row r="32" spans="1:3">
      <c r="A32" s="34" t="str" cm="1">
        <f t="array" ref="A32">IFERROR(INDEX('Final Project Dataset'!D$2:D$251,MATCH(0,COUNTIF(A$14:A31,'Final Project Dataset'!D$2:D$251),0)),"")</f>
        <v>Barbara Young</v>
      </c>
      <c r="B32" s="34">
        <f>IF(A32="","",COUNTIF('Final Project Dataset'!D$2:D$251,A32))</f>
        <v>5</v>
      </c>
      <c r="C32" s="34">
        <f>IF(A32="","",SUMIF('Final Project Dataset'!D$2:D$251,A32,'Final Project Dataset'!N$2:N$251))</f>
        <v>10649.8</v>
      </c>
    </row>
    <row r="33" spans="1:3">
      <c r="A33" s="34" t="str" cm="1">
        <f t="array" ref="A33">IFERROR(INDEX('Final Project Dataset'!D$2:D$251,MATCH(0,COUNTIF(A$14:A32,'Final Project Dataset'!D$2:D$251),0)),"")</f>
        <v>Patricia Moore</v>
      </c>
      <c r="B33" s="34">
        <f>IF(A33="","",COUNTIF('Final Project Dataset'!D$2:D$251,A33))</f>
        <v>8</v>
      </c>
      <c r="C33" s="34">
        <f>IF(A33="","",SUMIF('Final Project Dataset'!D$2:D$251,A33,'Final Project Dataset'!N$2:N$251))</f>
        <v>9799.73</v>
      </c>
    </row>
    <row r="34" spans="1:3">
      <c r="A34" s="34" t="str" cm="1">
        <f t="array" ref="A34">IFERROR(INDEX('Final Project Dataset'!D$2:D$251,MATCH(0,COUNTIF(A$14:A33,'Final Project Dataset'!D$2:D$251),0)),"")</f>
        <v>Cynthia Price</v>
      </c>
      <c r="B34" s="34">
        <f>IF(A34="","",COUNTIF('Final Project Dataset'!D$2:D$251,A34))</f>
        <v>5</v>
      </c>
      <c r="C34" s="34">
        <f>IF(A34="","",SUMIF('Final Project Dataset'!D$2:D$251,A34,'Final Project Dataset'!N$2:N$251))</f>
        <v>3769.8300000000004</v>
      </c>
    </row>
    <row r="35" spans="1:3">
      <c r="A35" s="34" t="str" cm="1">
        <f t="array" ref="A35">IFERROR(INDEX('Final Project Dataset'!D$2:D$251,MATCH(0,COUNTIF(A$14:A34,'Final Project Dataset'!D$2:D$251),0)),"")</f>
        <v>Nancy Collins</v>
      </c>
      <c r="B35" s="34">
        <f>IF(A35="","",COUNTIF('Final Project Dataset'!D$2:D$251,A35))</f>
        <v>6</v>
      </c>
      <c r="C35" s="34">
        <f>IF(A35="","",SUMIF('Final Project Dataset'!D$2:D$251,A35,'Final Project Dataset'!N$2:N$251))</f>
        <v>4189.7700000000004</v>
      </c>
    </row>
    <row r="36" spans="1:3">
      <c r="A36" s="34" t="str" cm="1">
        <f t="array" ref="A36">IFERROR(INDEX('Final Project Dataset'!D$2:D$251,MATCH(0,COUNTIF(A$14:A35,'Final Project Dataset'!D$2:D$251),0)),"")</f>
        <v>Linda Martin</v>
      </c>
      <c r="B36" s="34">
        <f>IF(A36="","",COUNTIF('Final Project Dataset'!D$2:D$251,A36))</f>
        <v>4</v>
      </c>
      <c r="C36" s="34">
        <f>IF(A36="","",SUMIF('Final Project Dataset'!D$2:D$251,A36,'Final Project Dataset'!N$2:N$251))</f>
        <v>1289.9000000000001</v>
      </c>
    </row>
    <row r="37" spans="1:3">
      <c r="A37" s="34" t="str" cm="1">
        <f t="array" ref="A37">IFERROR(INDEX('Final Project Dataset'!D$2:D$251,MATCH(0,COUNTIF(A$14:A36,'Final Project Dataset'!D$2:D$251),0)),"")</f>
        <v>Helen Roberts</v>
      </c>
      <c r="B37" s="34">
        <f>IF(A37="","",COUNTIF('Final Project Dataset'!D$2:D$251,A37))</f>
        <v>7</v>
      </c>
      <c r="C37" s="34">
        <f>IF(A37="","",SUMIF('Final Project Dataset'!D$2:D$251,A37,'Final Project Dataset'!N$2:N$251))</f>
        <v>6459.79</v>
      </c>
    </row>
    <row r="38" spans="1:3">
      <c r="A38" s="34" t="str" cm="1">
        <f t="array" ref="A38">IFERROR(INDEX('Final Project Dataset'!D$2:D$251,MATCH(0,COUNTIF(A$14:A37,'Final Project Dataset'!D$2:D$251),0)),"")</f>
        <v>Edward Mitchell</v>
      </c>
      <c r="B38" s="34">
        <f>IF(A38="","",COUNTIF('Final Project Dataset'!D$2:D$251,A38))</f>
        <v>6</v>
      </c>
      <c r="C38" s="34">
        <f>IF(A38="","",SUMIF('Final Project Dataset'!D$2:D$251,A38,'Final Project Dataset'!N$2:N$251))</f>
        <v>11919.769999999999</v>
      </c>
    </row>
    <row r="39" spans="1:3">
      <c r="A39" s="34" t="str" cm="1">
        <f t="array" ref="A39">IFERROR(INDEX('Final Project Dataset'!D$2:D$251,MATCH(0,COUNTIF(A$14:A38,'Final Project Dataset'!D$2:D$251),0)),"")</f>
        <v>Lisa Anderson</v>
      </c>
      <c r="B39" s="34">
        <f>IF(A39="","",COUNTIF('Final Project Dataset'!D$2:D$251,A39))</f>
        <v>5</v>
      </c>
      <c r="C39" s="34">
        <f>IF(A39="","",SUMIF('Final Project Dataset'!D$2:D$251,A39,'Final Project Dataset'!N$2:N$251))</f>
        <v>2039.8000000000002</v>
      </c>
    </row>
    <row r="40" spans="1:3">
      <c r="A40" s="34" t="str" cm="1">
        <f t="array" ref="A40">IFERROR(INDEX('Final Project Dataset'!D$2:D$251,MATCH(0,COUNTIF(A$14:A39,'Final Project Dataset'!D$2:D$251),0)),"")</f>
        <v>Emma Wilson</v>
      </c>
      <c r="B40" s="34">
        <f>IF(A40="","",COUNTIF('Final Project Dataset'!D$2:D$251,A40))</f>
        <v>5</v>
      </c>
      <c r="C40" s="34">
        <f>IF(A40="","",SUMIF('Final Project Dataset'!D$2:D$251,A40,'Final Project Dataset'!N$2:N$251))</f>
        <v>1229.8800000000001</v>
      </c>
    </row>
    <row r="41" spans="1:3">
      <c r="A41" s="34" t="str" cm="1">
        <f t="array" ref="A41">IFERROR(INDEX('Final Project Dataset'!D$2:D$251,MATCH(0,COUNTIF(A$14:A40,'Final Project Dataset'!D$2:D$251),0)),"")</f>
        <v>Steven Turner</v>
      </c>
      <c r="B41" s="34">
        <f>IF(A41="","",COUNTIF('Final Project Dataset'!D$2:D$251,A41))</f>
        <v>6</v>
      </c>
      <c r="C41" s="34">
        <f>IF(A41="","",SUMIF('Final Project Dataset'!D$2:D$251,A41,'Final Project Dataset'!N$2:N$251))</f>
        <v>2649.83</v>
      </c>
    </row>
    <row r="42" spans="1:3">
      <c r="A42" s="34" t="str" cm="1">
        <f t="array" ref="A42">IFERROR(INDEX('Final Project Dataset'!D$2:D$251,MATCH(0,COUNTIF(A$14:A41,'Final Project Dataset'!D$2:D$251),0)),"")</f>
        <v>Jennifer Taylor</v>
      </c>
      <c r="B42" s="34">
        <f>IF(A42="","",COUNTIF('Final Project Dataset'!D$2:D$251,A42))</f>
        <v>4</v>
      </c>
      <c r="C42" s="34">
        <f>IF(A42="","",SUMIF('Final Project Dataset'!D$2:D$251,A42,'Final Project Dataset'!N$2:N$251))</f>
        <v>4739.8500000000004</v>
      </c>
    </row>
    <row r="43" spans="1:3">
      <c r="A43" s="34" t="str" cm="1">
        <f t="array" ref="A43">IFERROR(INDEX('Final Project Dataset'!D$2:D$251,MATCH(0,COUNTIF(A$14:A42,'Final Project Dataset'!D$2:D$251),0)),"")</f>
        <v>Harry Morgan</v>
      </c>
      <c r="B43" s="34">
        <f>IF(A43="","",COUNTIF('Final Project Dataset'!D$2:D$251,A43))</f>
        <v>4</v>
      </c>
      <c r="C43" s="34">
        <f>IF(A43="","",SUMIF('Final Project Dataset'!D$2:D$251,A43,'Final Project Dataset'!N$2:N$251))</f>
        <v>5519.8899999999994</v>
      </c>
    </row>
    <row r="44" spans="1:3">
      <c r="A44" s="34" t="str" cm="1">
        <f t="array" ref="A44">IFERROR(INDEX('Final Project Dataset'!D$2:D$251,MATCH(0,COUNTIF(A$14:A43,'Final Project Dataset'!D$2:D$251),0)),"")</f>
        <v>Daniel King</v>
      </c>
      <c r="B44" s="34">
        <f>IF(A44="","",COUNTIF('Final Project Dataset'!D$2:D$251,A44))</f>
        <v>7</v>
      </c>
      <c r="C44" s="34">
        <f>IF(A44="","",SUMIF('Final Project Dataset'!D$2:D$251,A44,'Final Project Dataset'!N$2:N$251))</f>
        <v>7309.7999999999993</v>
      </c>
    </row>
    <row r="45" spans="1:3">
      <c r="A45" s="34" t="str" cm="1">
        <f t="array" ref="A45">IFERROR(INDEX('Final Project Dataset'!D$2:D$251,MATCH(0,COUNTIF(A$14:A44,'Final Project Dataset'!D$2:D$251),0)),"")</f>
        <v>Sharon Butler</v>
      </c>
      <c r="B45" s="34">
        <f>IF(A45="","",COUNTIF('Final Project Dataset'!D$2:D$251,A45))</f>
        <v>6</v>
      </c>
      <c r="C45" s="34">
        <f>IF(A45="","",SUMIF('Final Project Dataset'!D$2:D$251,A45,'Final Project Dataset'!N$2:N$251))</f>
        <v>5619.869999999999</v>
      </c>
    </row>
    <row r="46" spans="1:3">
      <c r="A46" s="34" t="str" cm="1">
        <f t="array" ref="A46">IFERROR(INDEX('Final Project Dataset'!D$2:D$251,MATCH(0,COUNTIF(A$14:A45,'Final Project Dataset'!D$2:D$251),0)),"")</f>
        <v>Sarah Davis</v>
      </c>
      <c r="B46" s="34">
        <f>IF(A46="","",COUNTIF('Final Project Dataset'!D$2:D$251,A46))</f>
        <v>5</v>
      </c>
      <c r="C46" s="34">
        <f>IF(A46="","",SUMIF('Final Project Dataset'!D$2:D$251,A46,'Final Project Dataset'!N$2:N$251))</f>
        <v>5499.8099999999995</v>
      </c>
    </row>
    <row r="47" spans="1:3">
      <c r="A47" s="34" t="str" cm="1">
        <f t="array" ref="A47">IFERROR(INDEX('Final Project Dataset'!D$2:D$251,MATCH(0,COUNTIF(A$14:A46,'Final Project Dataset'!D$2:D$251),0)),"")</f>
        <v>Betty Campbell</v>
      </c>
      <c r="B47" s="34">
        <f>IF(A47="","",COUNTIF('Final Project Dataset'!D$2:D$251,A47))</f>
        <v>5</v>
      </c>
      <c r="C47" s="34">
        <f>IF(A47="","",SUMIF('Final Project Dataset'!D$2:D$251,A47,'Final Project Dataset'!N$2:N$251))</f>
        <v>5649.84</v>
      </c>
    </row>
    <row r="48" spans="1:3">
      <c r="A48" s="34" t="str" cm="1">
        <f t="array" ref="A48">IFERROR(INDEX('Final Project Dataset'!D$2:D$251,MATCH(0,COUNTIF(A$14:A47,'Final Project Dataset'!D$2:D$251),0)),"")</f>
        <v>Julie Foster</v>
      </c>
      <c r="B48" s="34">
        <f>IF(A48="","",COUNTIF('Final Project Dataset'!D$2:D$251,A48))</f>
        <v>1</v>
      </c>
      <c r="C48" s="34">
        <f>IF(A48="","",SUMIF('Final Project Dataset'!D$2:D$251,A48,'Final Project Dataset'!N$2:N$251))</f>
        <v>239.96</v>
      </c>
    </row>
    <row r="49" spans="1:3">
      <c r="A49" s="34" t="str" cm="1">
        <f t="array" ref="A49">IFERROR(INDEX('Final Project Dataset'!D$2:D$251,MATCH(0,COUNTIF(A$14:A48,'Final Project Dataset'!D$2:D$251),0)),"")</f>
        <v>Raymond Ross</v>
      </c>
      <c r="B49" s="34">
        <f>IF(A49="","",COUNTIF('Final Project Dataset'!D$2:D$251,A49))</f>
        <v>4</v>
      </c>
      <c r="C49" s="34">
        <f>IF(A49="","",SUMIF('Final Project Dataset'!D$2:D$251,A49,'Final Project Dataset'!N$2:N$251))</f>
        <v>3669.8500000000004</v>
      </c>
    </row>
    <row r="50" spans="1:3">
      <c r="A50" s="34" t="str" cm="1">
        <f t="array" ref="A50">IFERROR(INDEX('Final Project Dataset'!D$2:D$251,MATCH(0,COUNTIF(A$14:A49,'Final Project Dataset'!D$2:D$251),0)),"")</f>
        <v>David Martinez</v>
      </c>
      <c r="B50" s="34">
        <f>IF(A50="","",COUNTIF('Final Project Dataset'!D$2:D$251,A50))</f>
        <v>6</v>
      </c>
      <c r="C50" s="34">
        <f>IF(A50="","",SUMIF('Final Project Dataset'!D$2:D$251,A50,'Final Project Dataset'!N$2:N$251))</f>
        <v>1809.84</v>
      </c>
    </row>
    <row r="51" spans="1:3">
      <c r="A51" s="34" t="str" cm="1">
        <f t="array" ref="A51">IFERROR(INDEX('Final Project Dataset'!D$2:D$251,MATCH(0,COUNTIF(A$14:A50,'Final Project Dataset'!D$2:D$251),0)),"")</f>
        <v>Margaret Wright</v>
      </c>
      <c r="B51" s="34">
        <f>IF(A51="","",COUNTIF('Final Project Dataset'!D$2:D$251,A51))</f>
        <v>4</v>
      </c>
      <c r="C51" s="34">
        <f>IF(A51="","",SUMIF('Final Project Dataset'!D$2:D$251,A51,'Final Project Dataset'!N$2:N$251))</f>
        <v>2099.88</v>
      </c>
    </row>
    <row r="52" spans="1:3">
      <c r="A52" s="34" t="str" cm="1">
        <f t="array" ref="A52">IFERROR(INDEX('Final Project Dataset'!D$2:D$251,MATCH(0,COUNTIF(A$14:A51,'Final Project Dataset'!D$2:D$251),0)),"")</f>
        <v>Frank Torres</v>
      </c>
      <c r="B52" s="34">
        <f>IF(A52="","",COUNTIF('Final Project Dataset'!D$2:D$251,A52))</f>
        <v>5</v>
      </c>
      <c r="C52" s="34">
        <f>IF(A52="","",SUMIF('Final Project Dataset'!D$2:D$251,A52,'Final Project Dataset'!N$2:N$251))</f>
        <v>1479.91</v>
      </c>
    </row>
    <row r="53" spans="1:3">
      <c r="A53" s="34" t="str" cm="1">
        <f t="array" ref="A53">IFERROR(INDEX('Final Project Dataset'!D$2:D$251,MATCH(0,COUNTIF(A$14:A52,'Final Project Dataset'!D$2:D$251),0)),"")</f>
        <v>Gerald Murphy</v>
      </c>
      <c r="B53" s="34">
        <f>IF(A53="","",COUNTIF('Final Project Dataset'!D$2:D$251,A53))</f>
        <v>4</v>
      </c>
      <c r="C53" s="34">
        <f>IF(A53="","",SUMIF('Final Project Dataset'!D$2:D$251,A53,'Final Project Dataset'!N$2:N$251))</f>
        <v>6379.87</v>
      </c>
    </row>
    <row r="54" spans="1:3">
      <c r="A54" s="34" t="str" cm="1">
        <f t="array" ref="A54">IFERROR(INDEX('Final Project Dataset'!D$2:D$251,MATCH(0,COUNTIF(A$14:A53,'Final Project Dataset'!D$2:D$251),0)),"")</f>
        <v>Elizabeth Hall</v>
      </c>
      <c r="B54" s="34">
        <f>IF(A54="","",COUNTIF('Final Project Dataset'!D$2:D$251,A54))</f>
        <v>4</v>
      </c>
      <c r="C54" s="34">
        <f>IF(A54="","",SUMIF('Final Project Dataset'!D$2:D$251,A54,'Final Project Dataset'!N$2:N$251))</f>
        <v>3649.8599999999997</v>
      </c>
    </row>
    <row r="55" spans="1:3">
      <c r="A55" s="34" t="str" cm="1">
        <f t="array" ref="A55">IFERROR(INDEX('Final Project Dataset'!D$2:D$251,MATCH(0,COUNTIF(A$14:A54,'Final Project Dataset'!D$2:D$251),0)),"")</f>
        <v>Lawrence Reed</v>
      </c>
      <c r="B55" s="34">
        <f>IF(A55="","",COUNTIF('Final Project Dataset'!D$2:D$251,A55))</f>
        <v>8</v>
      </c>
      <c r="C55" s="34">
        <f>IF(A55="","",SUMIF('Final Project Dataset'!D$2:D$251,A55,'Final Project Dataset'!N$2:N$251))</f>
        <v>6989.7699999999986</v>
      </c>
    </row>
    <row r="56" spans="1:3">
      <c r="A56" s="34" t="str" cm="1">
        <f t="array" ref="A56">IFERROR(INDEX('Final Project Dataset'!D$2:D$251,MATCH(0,COUNTIF(A$14:A55,'Final Project Dataset'!D$2:D$251),0)),"")</f>
        <v>Carol Evans</v>
      </c>
      <c r="B56" s="34">
        <f>IF(A56="","",COUNTIF('Final Project Dataset'!D$2:D$251,A56))</f>
        <v>3</v>
      </c>
      <c r="C56" s="34">
        <f>IF(A56="","",SUMIF('Final Project Dataset'!D$2:D$251,A56,'Final Project Dataset'!N$2:N$251))</f>
        <v>1149.93</v>
      </c>
    </row>
    <row r="57" spans="1:3">
      <c r="A57" s="34" t="str" cm="1">
        <f t="array" ref="A57">IFERROR(INDEX('Final Project Dataset'!D$2:D$251,MATCH(0,COUNTIF(A$14:A56,'Final Project Dataset'!D$2:D$251),0)),"")</f>
        <v>Sandra Phillips</v>
      </c>
      <c r="B57" s="34">
        <f>IF(A57="","",COUNTIF('Final Project Dataset'!D$2:D$251,A57))</f>
        <v>5</v>
      </c>
      <c r="C57" s="34">
        <f>IF(A57="","",SUMIF('Final Project Dataset'!D$2:D$251,A57,'Final Project Dataset'!N$2:N$251))</f>
        <v>6349.83</v>
      </c>
    </row>
    <row r="58" spans="1:3">
      <c r="A58" s="34" t="str" cm="1">
        <f t="array" ref="A58">IFERROR(INDEX('Final Project Dataset'!D$2:D$251,MATCH(0,COUNTIF(A$14:A57,'Final Project Dataset'!D$2:D$251),0)),"")</f>
        <v>Ruth Brooks</v>
      </c>
      <c r="B58" s="34">
        <f>IF(A58="","",COUNTIF('Final Project Dataset'!D$2:D$251,A58))</f>
        <v>3</v>
      </c>
      <c r="C58" s="34">
        <f>IF(A58="","",SUMIF('Final Project Dataset'!D$2:D$251,A58,'Final Project Dataset'!N$2:N$251))</f>
        <v>1749.92</v>
      </c>
    </row>
    <row r="59" spans="1:3">
      <c r="A59" s="34" t="str" cm="1">
        <f t="array" ref="A59">IFERROR(INDEX('Final Project Dataset'!D$2:D$251,MATCH(0,COUNTIF(A$14:A58,'Final Project Dataset'!D$2:D$251),0)),"")</f>
        <v>William White</v>
      </c>
      <c r="B59" s="34">
        <f>IF(A59="","",COUNTIF('Final Project Dataset'!D$2:D$251,A59))</f>
        <v>3</v>
      </c>
      <c r="C59" s="34">
        <f>IF(A59="","",SUMIF('Final Project Dataset'!D$2:D$251,A59,'Final Project Dataset'!N$2:N$251))</f>
        <v>4749.91</v>
      </c>
    </row>
    <row r="60" spans="1:3">
      <c r="A60" s="34" t="str" cm="1">
        <f t="array" ref="A60">IFERROR(INDEX('Final Project Dataset'!D$2:D$251,MATCH(0,COUNTIF(A$14:A59,'Final Project Dataset'!D$2:D$251),0)),"")</f>
        <v>Richard Lee</v>
      </c>
      <c r="B60" s="34">
        <f>IF(A60="","",COUNTIF('Final Project Dataset'!D$2:D$251,A60))</f>
        <v>3</v>
      </c>
      <c r="C60" s="34">
        <f>IF(A60="","",SUMIF('Final Project Dataset'!D$2:D$251,A60,'Final Project Dataset'!N$2:N$251))</f>
        <v>739.93000000000006</v>
      </c>
    </row>
    <row r="61" spans="1:3">
      <c r="A61" s="34" t="str" cm="1">
        <f t="array" ref="A61">IFERROR(INDEX('Final Project Dataset'!D$2:D$251,MATCH(0,COUNTIF(A$14:A60,'Final Project Dataset'!D$2:D$251),0)),"")</f>
        <v>Douglas Watson</v>
      </c>
      <c r="B61" s="34">
        <f>IF(A61="","",COUNTIF('Final Project Dataset'!D$2:D$251,A61))</f>
        <v>4</v>
      </c>
      <c r="C61" s="34">
        <f>IF(A61="","",SUMIF('Final Project Dataset'!D$2:D$251,A61,'Final Project Dataset'!N$2:N$251))</f>
        <v>4829.8899999999994</v>
      </c>
    </row>
    <row r="62" spans="1:3">
      <c r="A62" s="34" t="str" cm="1">
        <f t="array" ref="A62">IFERROR(INDEX('Final Project Dataset'!D$2:D$251,MATCH(0,COUNTIF(A$14:A61,'Final Project Dataset'!D$2:D$251),0)),"")</f>
        <v>James Johnson</v>
      </c>
      <c r="B62" s="34">
        <f>IF(A62="","",COUNTIF('Final Project Dataset'!D$2:D$251,A62))</f>
        <v>1</v>
      </c>
      <c r="C62" s="34">
        <f>IF(A62="","",SUMIF('Final Project Dataset'!D$2:D$251,A62,'Final Project Dataset'!N$2:N$251))</f>
        <v>179.97</v>
      </c>
    </row>
    <row r="63" spans="1:3">
      <c r="A63" s="34" t="str" cm="1">
        <f t="array" ref="A63">IFERROR(INDEX('Final Project Dataset'!D$2:D$251,MATCH(0,COUNTIF(A$14:A62,'Final Project Dataset'!D$2:D$251),0)),"")</f>
        <v>Arthur Edwards</v>
      </c>
      <c r="B63" s="34">
        <f>IF(A63="","",COUNTIF('Final Project Dataset'!D$2:D$251,A63))</f>
        <v>3</v>
      </c>
      <c r="C63" s="34">
        <f>IF(A63="","",SUMIF('Final Project Dataset'!D$2:D$251,A63,'Final Project Dataset'!N$2:N$251))</f>
        <v>1559.94</v>
      </c>
    </row>
    <row r="64" spans="1:3">
      <c r="A64" s="34" t="str" cm="1">
        <f t="array" ref="A64">IFERROR(INDEX('Final Project Dataset'!D$2:D$251,MATCH(0,COUNTIF(A$14:A63,'Final Project Dataset'!D$2:D$251),0)),"")</f>
        <v>John Smith</v>
      </c>
      <c r="B64" s="34">
        <f>IF(A64="","",COUNTIF('Final Project Dataset'!D$2:D$251,A64))</f>
        <v>1</v>
      </c>
      <c r="C64" s="34">
        <f>IF(A64="","",SUMIF('Final Project Dataset'!D$2:D$251,A64,'Final Project Dataset'!N$2:N$251))</f>
        <v>599.96</v>
      </c>
    </row>
  </sheetData>
  <mergeCells count="2">
    <mergeCell ref="A13:C13"/>
    <mergeCell ref="G1:H1"/>
  </mergeCells>
  <pageMargins left="0.7" right="0.7" top="0.75" bottom="0.75" header="0.3" footer="0.3"/>
  <pageSetup orientation="portrait" r:id="rId1"/>
  <ignoredErrors>
    <ignoredError sqref="D3:D11" formulaRange="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F250E-7EBF-4DDF-BC53-6B537E3DFBE7}">
  <dimension ref="A1:D251"/>
  <sheetViews>
    <sheetView view="pageBreakPreview" zoomScale="60" zoomScaleNormal="105" workbookViewId="0"/>
  </sheetViews>
  <sheetFormatPr defaultRowHeight="14.4"/>
  <cols>
    <col min="1" max="1" width="26.88671875" customWidth="1"/>
    <col min="2" max="2" width="32.77734375" customWidth="1"/>
    <col min="3" max="3" width="27.77734375" customWidth="1"/>
    <col min="4" max="4" width="29.109375" customWidth="1"/>
  </cols>
  <sheetData>
    <row r="1" spans="1:4" ht="15.6">
      <c r="A1" s="14" t="s">
        <v>577</v>
      </c>
      <c r="B1" s="14" t="s">
        <v>578</v>
      </c>
      <c r="C1" s="14" t="s">
        <v>579</v>
      </c>
      <c r="D1" s="14" t="s">
        <v>580</v>
      </c>
    </row>
    <row r="2" spans="1:4">
      <c r="A2" s="34" t="str">
        <f>'Final Project Dataset'!D2</f>
        <v>Paul Baker</v>
      </c>
      <c r="B2" s="34" t="str" cm="1">
        <f t="array" ref="B2">IFERROR(INDEX('Final Project Dataset'!D$2:D$251,MATCH(0,COUNTIF(B$1:B1,'Final Project Dataset'!D$2:D$251)+IF('Final Project Dataset'!L$2:L$251&lt;&gt;"Premium",1,0),0)),"")</f>
        <v>Joseph Jackson</v>
      </c>
      <c r="C2" s="34" t="str">
        <f>IF(COUNTIF($B$2:$B$41,A2)&gt;0,"✅ Match","❌ No Match")</f>
        <v>✅ Match</v>
      </c>
      <c r="D2" s="34" t="str" cm="1">
        <f t="array" ref="D2:D211">IFERROR(_xlfn._xlws.FILTER($A$2:$A$251,COUNTIF($B$2:$B$41,$A$2:$A$251)&gt;0),"")</f>
        <v>Paul Baker</v>
      </c>
    </row>
    <row r="3" spans="1:4">
      <c r="A3" s="34" t="str">
        <f>'Final Project Dataset'!D3</f>
        <v>Joseph Jackson</v>
      </c>
      <c r="B3" s="34" t="str" cm="1">
        <f t="array" ref="B3">IFERROR(INDEX('Final Project Dataset'!D$2:D$251,MATCH(0,COUNTIF(B$1:B2,'Final Project Dataset'!D$2:D$251)+IF('Final Project Dataset'!L$2:L$251&lt;&gt;"Premium",1,0),0)),"")</f>
        <v>Kathleen Bennett</v>
      </c>
      <c r="C3" s="34" t="str">
        <f t="shared" ref="C3:C66" si="0">IF(COUNTIF($B$2:$B$41,A3)&gt;0,"✅ Match","❌ No Match")</f>
        <v>✅ Match</v>
      </c>
      <c r="D3" s="34" t="str">
        <v>Joseph Jackson</v>
      </c>
    </row>
    <row r="4" spans="1:4">
      <c r="A4" s="34" t="str">
        <f>'Final Project Dataset'!D4</f>
        <v>Kevin Scott</v>
      </c>
      <c r="B4" s="34" t="str" cm="1">
        <f t="array" ref="B4">IFERROR(INDEX('Final Project Dataset'!D$2:D$251,MATCH(0,COUNTIF(B$1:B3,'Final Project Dataset'!D$2:D$251)+IF('Final Project Dataset'!L$2:L$251&lt;&gt;"Premium",1,0),0)),"")</f>
        <v>Michael Brown</v>
      </c>
      <c r="C4" s="34" t="str">
        <f t="shared" si="0"/>
        <v>✅ Match</v>
      </c>
      <c r="D4" s="34" t="str">
        <v>Kevin Scott</v>
      </c>
    </row>
    <row r="5" spans="1:4">
      <c r="A5" s="34" t="str">
        <f>'Final Project Dataset'!D5</f>
        <v>Kathleen Bennett</v>
      </c>
      <c r="B5" s="34" t="str" cm="1">
        <f t="array" ref="B5">IFERROR(INDEX('Final Project Dataset'!D$2:D$251,MATCH(0,COUNTIF(B$1:B4,'Final Project Dataset'!D$2:D$251)+IF('Final Project Dataset'!L$2:L$251&lt;&gt;"Premium",1,0),0)),"")</f>
        <v>Karen Hill</v>
      </c>
      <c r="C5" s="34" t="str">
        <f t="shared" si="0"/>
        <v>✅ Match</v>
      </c>
      <c r="D5" s="34" t="str">
        <v>Kathleen Bennett</v>
      </c>
    </row>
    <row r="6" spans="1:4">
      <c r="A6" s="34" t="str">
        <f>'Final Project Dataset'!D6</f>
        <v>Michael Brown</v>
      </c>
      <c r="B6" s="34" t="str" cm="1">
        <f t="array" ref="B6">IFERROR(INDEX('Final Project Dataset'!D$2:D$251,MATCH(0,COUNTIF(B$1:B5,'Final Project Dataset'!D$2:D$251)+IF('Final Project Dataset'!L$2:L$251&lt;&gt;"Premium",1,0),0)),"")</f>
        <v>Peter Richardson</v>
      </c>
      <c r="C6" s="34" t="str">
        <f t="shared" si="0"/>
        <v>✅ Match</v>
      </c>
      <c r="D6" s="34" t="str">
        <v>Michael Brown</v>
      </c>
    </row>
    <row r="7" spans="1:4">
      <c r="A7" s="34" t="str">
        <f>'Final Project Dataset'!D7</f>
        <v>Dorothy Nelson</v>
      </c>
      <c r="B7" s="34" t="str" cm="1">
        <f t="array" ref="B7">IFERROR(INDEX('Final Project Dataset'!D$2:D$251,MATCH(0,COUNTIF(B$1:B6,'Final Project Dataset'!D$2:D$251)+IF('Final Project Dataset'!L$2:L$251&lt;&gt;"Premium",1,0),0)),"")</f>
        <v>Mark Carter</v>
      </c>
      <c r="C7" s="34" t="str">
        <f t="shared" si="0"/>
        <v>✅ Match</v>
      </c>
      <c r="D7" s="34" t="str">
        <v>Dorothy Nelson</v>
      </c>
    </row>
    <row r="8" spans="1:4">
      <c r="A8" s="34" t="str">
        <f>'Final Project Dataset'!D8</f>
        <v>Dorothy Nelson</v>
      </c>
      <c r="B8" s="34" t="str" cm="1">
        <f t="array" ref="B8">IFERROR(INDEX('Final Project Dataset'!D$2:D$251,MATCH(0,COUNTIF(B$1:B7,'Final Project Dataset'!D$2:D$251)+IF('Final Project Dataset'!L$2:L$251&lt;&gt;"Premium",1,0),0)),"")</f>
        <v>Virginia Sanders</v>
      </c>
      <c r="C8" s="34" t="str">
        <f t="shared" si="0"/>
        <v>✅ Match</v>
      </c>
      <c r="D8" s="34" t="str">
        <v>Dorothy Nelson</v>
      </c>
    </row>
    <row r="9" spans="1:4">
      <c r="A9" s="34" t="str">
        <f>'Final Project Dataset'!D9</f>
        <v>Charles Allen</v>
      </c>
      <c r="B9" s="34" t="str" cm="1">
        <f t="array" ref="B9">IFERROR(INDEX('Final Project Dataset'!D$2:D$251,MATCH(0,COUNTIF(B$1:B8,'Final Project Dataset'!D$2:D$251)+IF('Final Project Dataset'!L$2:L$251&lt;&gt;"Premium",1,0),0)),"")</f>
        <v>Linda Martin</v>
      </c>
      <c r="C9" s="34" t="str">
        <f t="shared" si="0"/>
        <v>✅ Match</v>
      </c>
      <c r="D9" s="34" t="str">
        <v>Charles Allen</v>
      </c>
    </row>
    <row r="10" spans="1:4">
      <c r="A10" s="34" t="str">
        <f>'Final Project Dataset'!D10</f>
        <v>Robert Thomas</v>
      </c>
      <c r="B10" s="34" t="str" cm="1">
        <f t="array" ref="B10">IFERROR(INDEX('Final Project Dataset'!D$2:D$251,MATCH(0,COUNTIF(B$1:B9,'Final Project Dataset'!D$2:D$251)+IF('Final Project Dataset'!L$2:L$251&lt;&gt;"Premium",1,0),0)),"")</f>
        <v>Patricia Moore</v>
      </c>
      <c r="C10" s="34" t="str">
        <f t="shared" si="0"/>
        <v>✅ Match</v>
      </c>
      <c r="D10" s="34" t="str">
        <v>Robert Thomas</v>
      </c>
    </row>
    <row r="11" spans="1:4">
      <c r="A11" s="34" t="str">
        <f>'Final Project Dataset'!D11</f>
        <v>Karen Hill</v>
      </c>
      <c r="B11" s="34" t="str" cm="1">
        <f t="array" ref="B11">IFERROR(INDEX('Final Project Dataset'!D$2:D$251,MATCH(0,COUNTIF(B$1:B10,'Final Project Dataset'!D$2:D$251)+IF('Final Project Dataset'!L$2:L$251&lt;&gt;"Premium",1,0),0)),"")</f>
        <v>Emma Wilson</v>
      </c>
      <c r="C11" s="34" t="str">
        <f t="shared" si="0"/>
        <v>✅ Match</v>
      </c>
      <c r="D11" s="34" t="str">
        <v>Karen Hill</v>
      </c>
    </row>
    <row r="12" spans="1:4">
      <c r="A12" s="34" t="str">
        <f>'Final Project Dataset'!D12</f>
        <v>Susan Green</v>
      </c>
      <c r="B12" s="34" t="str" cm="1">
        <f t="array" ref="B12">IFERROR(INDEX('Final Project Dataset'!D$2:D$251,MATCH(0,COUNTIF(B$1:B11,'Final Project Dataset'!D$2:D$251)+IF('Final Project Dataset'!L$2:L$251&lt;&gt;"Premium",1,0),0)),"")</f>
        <v>Kevin Scott</v>
      </c>
      <c r="C12" s="34" t="str">
        <f t="shared" si="0"/>
        <v>❌ No Match</v>
      </c>
      <c r="D12" s="34" t="str">
        <v>Kathleen Bennett</v>
      </c>
    </row>
    <row r="13" spans="1:4">
      <c r="A13" s="34" t="str">
        <f>'Final Project Dataset'!D13</f>
        <v>Kathleen Bennett</v>
      </c>
      <c r="B13" s="34" t="str" cm="1">
        <f t="array" ref="B13">IFERROR(INDEX('Final Project Dataset'!D$2:D$251,MATCH(0,COUNTIF(B$1:B12,'Final Project Dataset'!D$2:D$251)+IF('Final Project Dataset'!L$2:L$251&lt;&gt;"Premium",1,0),0)),"")</f>
        <v>Steven Turner</v>
      </c>
      <c r="C13" s="34" t="str">
        <f t="shared" si="0"/>
        <v>✅ Match</v>
      </c>
      <c r="D13" s="34" t="str">
        <v>Peter Richardson</v>
      </c>
    </row>
    <row r="14" spans="1:4">
      <c r="A14" s="34" t="str">
        <f>'Final Project Dataset'!D14</f>
        <v>Peter Richardson</v>
      </c>
      <c r="B14" s="34" t="str" cm="1">
        <f t="array" ref="B14">IFERROR(INDEX('Final Project Dataset'!D$2:D$251,MATCH(0,COUNTIF(B$1:B13,'Final Project Dataset'!D$2:D$251)+IF('Final Project Dataset'!L$2:L$251&lt;&gt;"Premium",1,0),0)),"")</f>
        <v>Harry Morgan</v>
      </c>
      <c r="C14" s="34" t="str">
        <f t="shared" si="0"/>
        <v>✅ Match</v>
      </c>
      <c r="D14" s="34" t="str">
        <v>Dennis Gray</v>
      </c>
    </row>
    <row r="15" spans="1:4">
      <c r="A15" s="34" t="str">
        <f>'Final Project Dataset'!D15</f>
        <v>Dennis Gray</v>
      </c>
      <c r="B15" s="34" t="str" cm="1">
        <f t="array" ref="B15">IFERROR(INDEX('Final Project Dataset'!D$2:D$251,MATCH(0,COUNTIF(B$1:B14,'Final Project Dataset'!D$2:D$251)+IF('Final Project Dataset'!L$2:L$251&lt;&gt;"Premium",1,0),0)),"")</f>
        <v>Lisa Anderson</v>
      </c>
      <c r="C15" s="34" t="str">
        <f t="shared" si="0"/>
        <v>✅ Match</v>
      </c>
      <c r="D15" s="34" t="str">
        <v>Michelle Rogers</v>
      </c>
    </row>
    <row r="16" spans="1:4">
      <c r="A16" s="34" t="str">
        <f>'Final Project Dataset'!D16</f>
        <v>Michelle Rogers</v>
      </c>
      <c r="B16" s="34" t="str" cm="1">
        <f t="array" ref="B16">IFERROR(INDEX('Final Project Dataset'!D$2:D$251,MATCH(0,COUNTIF(B$1:B15,'Final Project Dataset'!D$2:D$251)+IF('Final Project Dataset'!L$2:L$251&lt;&gt;"Premium",1,0),0)),"")</f>
        <v>Edward Mitchell</v>
      </c>
      <c r="C16" s="34" t="str">
        <f t="shared" si="0"/>
        <v>✅ Match</v>
      </c>
      <c r="D16" s="34" t="str">
        <v>Mark Carter</v>
      </c>
    </row>
    <row r="17" spans="1:4">
      <c r="A17" s="34" t="str">
        <f>'Final Project Dataset'!D17</f>
        <v>George Adams</v>
      </c>
      <c r="B17" s="34" t="str" cm="1">
        <f t="array" ref="B17">IFERROR(INDEX('Final Project Dataset'!D$2:D$251,MATCH(0,COUNTIF(B$1:B16,'Final Project Dataset'!D$2:D$251)+IF('Final Project Dataset'!L$2:L$251&lt;&gt;"Premium",1,0),0)),"")</f>
        <v>Betty Campbell</v>
      </c>
      <c r="C17" s="34" t="str">
        <f t="shared" si="0"/>
        <v>❌ No Match</v>
      </c>
      <c r="D17" s="34" t="str">
        <v>Maria Garcia</v>
      </c>
    </row>
    <row r="18" spans="1:4">
      <c r="A18" s="34" t="str">
        <f>'Final Project Dataset'!D18</f>
        <v>Mark Carter</v>
      </c>
      <c r="B18" s="34" t="str" cm="1">
        <f t="array" ref="B18">IFERROR(INDEX('Final Project Dataset'!D$2:D$251,MATCH(0,COUNTIF(B$1:B17,'Final Project Dataset'!D$2:D$251)+IF('Final Project Dataset'!L$2:L$251&lt;&gt;"Premium",1,0),0)),"")</f>
        <v>Barbara Young</v>
      </c>
      <c r="C18" s="34" t="str">
        <f t="shared" si="0"/>
        <v>✅ Match</v>
      </c>
      <c r="D18" s="34" t="str">
        <v>Mark Carter</v>
      </c>
    </row>
    <row r="19" spans="1:4">
      <c r="A19" s="34" t="str">
        <f>'Final Project Dataset'!D19</f>
        <v>Maria Garcia</v>
      </c>
      <c r="B19" s="34" t="str" cm="1">
        <f t="array" ref="B19">IFERROR(INDEX('Final Project Dataset'!D$2:D$251,MATCH(0,COUNTIF(B$1:B18,'Final Project Dataset'!D$2:D$251)+IF('Final Project Dataset'!L$2:L$251&lt;&gt;"Premium",1,0),0)),"")</f>
        <v>Frank Torres</v>
      </c>
      <c r="C19" s="34" t="str">
        <f t="shared" si="0"/>
        <v>✅ Match</v>
      </c>
      <c r="D19" s="34" t="str">
        <v>Virginia Sanders</v>
      </c>
    </row>
    <row r="20" spans="1:4">
      <c r="A20" s="34" t="str">
        <f>'Final Project Dataset'!D20</f>
        <v>Mark Carter</v>
      </c>
      <c r="B20" s="34" t="str" cm="1">
        <f t="array" ref="B20">IFERROR(INDEX('Final Project Dataset'!D$2:D$251,MATCH(0,COUNTIF(B$1:B19,'Final Project Dataset'!D$2:D$251)+IF('Final Project Dataset'!L$2:L$251&lt;&gt;"Premium",1,0),0)),"")</f>
        <v>David Martinez</v>
      </c>
      <c r="C20" s="34" t="str">
        <f t="shared" si="0"/>
        <v>✅ Match</v>
      </c>
      <c r="D20" s="34" t="str">
        <v>Barbara Young</v>
      </c>
    </row>
    <row r="21" spans="1:4">
      <c r="A21" s="34" t="str">
        <f>'Final Project Dataset'!D21</f>
        <v>Virginia Sanders</v>
      </c>
      <c r="B21" s="34" t="str" cm="1">
        <f t="array" ref="B21">IFERROR(INDEX('Final Project Dataset'!D$2:D$251,MATCH(0,COUNTIF(B$1:B20,'Final Project Dataset'!D$2:D$251)+IF('Final Project Dataset'!L$2:L$251&lt;&gt;"Premium",1,0),0)),"")</f>
        <v>Margaret Wright</v>
      </c>
      <c r="C21" s="34" t="str">
        <f t="shared" si="0"/>
        <v>✅ Match</v>
      </c>
      <c r="D21" s="34" t="str">
        <v>Patricia Moore</v>
      </c>
    </row>
    <row r="22" spans="1:4">
      <c r="A22" s="34" t="str">
        <f>'Final Project Dataset'!D22</f>
        <v>Barbara Young</v>
      </c>
      <c r="B22" s="34" t="str" cm="1">
        <f t="array" ref="B22">IFERROR(INDEX('Final Project Dataset'!D$2:D$251,MATCH(0,COUNTIF(B$1:B21,'Final Project Dataset'!D$2:D$251)+IF('Final Project Dataset'!L$2:L$251&lt;&gt;"Premium",1,0),0)),"")</f>
        <v>Lawrence Reed</v>
      </c>
      <c r="C22" s="34" t="str">
        <f t="shared" si="0"/>
        <v>✅ Match</v>
      </c>
      <c r="D22" s="34" t="str">
        <v>Mark Carter</v>
      </c>
    </row>
    <row r="23" spans="1:4">
      <c r="A23" s="34" t="str">
        <f>'Final Project Dataset'!D23</f>
        <v>Patricia Moore</v>
      </c>
      <c r="B23" s="34" t="str" cm="1">
        <f t="array" ref="B23">IFERROR(INDEX('Final Project Dataset'!D$2:D$251,MATCH(0,COUNTIF(B$1:B22,'Final Project Dataset'!D$2:D$251)+IF('Final Project Dataset'!L$2:L$251&lt;&gt;"Premium",1,0),0)),"")</f>
        <v>Gerald Murphy</v>
      </c>
      <c r="C23" s="34" t="str">
        <f t="shared" si="0"/>
        <v>✅ Match</v>
      </c>
      <c r="D23" s="34" t="str">
        <v>Nancy Collins</v>
      </c>
    </row>
    <row r="24" spans="1:4">
      <c r="A24" s="34" t="str">
        <f>'Final Project Dataset'!D24</f>
        <v>Cynthia Price</v>
      </c>
      <c r="B24" s="34" t="str" cm="1">
        <f t="array" ref="B24">IFERROR(INDEX('Final Project Dataset'!D$2:D$251,MATCH(0,COUNTIF(B$1:B23,'Final Project Dataset'!D$2:D$251)+IF('Final Project Dataset'!L$2:L$251&lt;&gt;"Premium",1,0),0)),"")</f>
        <v>Carol Evans</v>
      </c>
      <c r="C24" s="34" t="str">
        <f t="shared" si="0"/>
        <v>❌ No Match</v>
      </c>
      <c r="D24" s="34" t="str">
        <v>Linda Martin</v>
      </c>
    </row>
    <row r="25" spans="1:4">
      <c r="A25" s="34" t="str">
        <f>'Final Project Dataset'!D25</f>
        <v>Mark Carter</v>
      </c>
      <c r="B25" s="34" t="str" cm="1">
        <f t="array" ref="B25">IFERROR(INDEX('Final Project Dataset'!D$2:D$251,MATCH(0,COUNTIF(B$1:B24,'Final Project Dataset'!D$2:D$251)+IF('Final Project Dataset'!L$2:L$251&lt;&gt;"Premium",1,0),0)),"")</f>
        <v>Sandra Phillips</v>
      </c>
      <c r="C25" s="34" t="str">
        <f t="shared" si="0"/>
        <v>✅ Match</v>
      </c>
      <c r="D25" s="34" t="str">
        <v>Patricia Moore</v>
      </c>
    </row>
    <row r="26" spans="1:4">
      <c r="A26" s="34" t="str">
        <f>'Final Project Dataset'!D26</f>
        <v>Nancy Collins</v>
      </c>
      <c r="B26" s="34" t="str" cm="1">
        <f t="array" ref="B26">IFERROR(INDEX('Final Project Dataset'!D$2:D$251,MATCH(0,COUNTIF(B$1:B25,'Final Project Dataset'!D$2:D$251)+IF('Final Project Dataset'!L$2:L$251&lt;&gt;"Premium",1,0),0)),"")</f>
        <v>Paul Baker</v>
      </c>
      <c r="C26" s="34" t="str">
        <f t="shared" si="0"/>
        <v>✅ Match</v>
      </c>
      <c r="D26" s="34" t="str">
        <v>Edward Mitchell</v>
      </c>
    </row>
    <row r="27" spans="1:4">
      <c r="A27" s="34" t="str">
        <f>'Final Project Dataset'!D27</f>
        <v>Susan Green</v>
      </c>
      <c r="B27" s="34" t="str" cm="1">
        <f t="array" ref="B27">IFERROR(INDEX('Final Project Dataset'!D$2:D$251,MATCH(0,COUNTIF(B$1:B26,'Final Project Dataset'!D$2:D$251)+IF('Final Project Dataset'!L$2:L$251&lt;&gt;"Premium",1,0),0)),"")</f>
        <v>Dorothy Nelson</v>
      </c>
      <c r="C27" s="34" t="str">
        <f t="shared" si="0"/>
        <v>❌ No Match</v>
      </c>
      <c r="D27" s="34" t="str">
        <v>Charles Allen</v>
      </c>
    </row>
    <row r="28" spans="1:4">
      <c r="A28" s="34" t="str">
        <f>'Final Project Dataset'!D28</f>
        <v>Linda Martin</v>
      </c>
      <c r="B28" s="34" t="str" cm="1">
        <f t="array" ref="B28">IFERROR(INDEX('Final Project Dataset'!D$2:D$251,MATCH(0,COUNTIF(B$1:B27,'Final Project Dataset'!D$2:D$251)+IF('Final Project Dataset'!L$2:L$251&lt;&gt;"Premium",1,0),0)),"")</f>
        <v>Daniel King</v>
      </c>
      <c r="C28" s="34" t="str">
        <f t="shared" si="0"/>
        <v>✅ Match</v>
      </c>
      <c r="D28" s="34" t="str">
        <v>Lisa Anderson</v>
      </c>
    </row>
    <row r="29" spans="1:4">
      <c r="A29" s="34" t="str">
        <f>'Final Project Dataset'!D29</f>
        <v>Patricia Moore</v>
      </c>
      <c r="B29" s="34" t="str" cm="1">
        <f t="array" ref="B29">IFERROR(INDEX('Final Project Dataset'!D$2:D$251,MATCH(0,COUNTIF(B$1:B28,'Final Project Dataset'!D$2:D$251)+IF('Final Project Dataset'!L$2:L$251&lt;&gt;"Premium",1,0),0)),"")</f>
        <v>Elizabeth Hall</v>
      </c>
      <c r="C29" s="34" t="str">
        <f t="shared" si="0"/>
        <v>✅ Match</v>
      </c>
      <c r="D29" s="34" t="str">
        <v>Emma Wilson</v>
      </c>
    </row>
    <row r="30" spans="1:4">
      <c r="A30" s="34" t="str">
        <f>'Final Project Dataset'!D30</f>
        <v>Helen Roberts</v>
      </c>
      <c r="B30" s="34" t="str" cm="1">
        <f t="array" ref="B30">IFERROR(INDEX('Final Project Dataset'!D$2:D$251,MATCH(0,COUNTIF(B$1:B29,'Final Project Dataset'!D$2:D$251)+IF('Final Project Dataset'!L$2:L$251&lt;&gt;"Premium",1,0),0)),"")</f>
        <v>Maria Garcia</v>
      </c>
      <c r="C30" s="34" t="str">
        <f t="shared" si="0"/>
        <v>❌ No Match</v>
      </c>
      <c r="D30" s="34" t="str">
        <v>Kevin Scott</v>
      </c>
    </row>
    <row r="31" spans="1:4">
      <c r="A31" s="34" t="str">
        <f>'Final Project Dataset'!D31</f>
        <v>Edward Mitchell</v>
      </c>
      <c r="B31" s="34" t="str" cm="1">
        <f t="array" ref="B31">IFERROR(INDEX('Final Project Dataset'!D$2:D$251,MATCH(0,COUNTIF(B$1:B30,'Final Project Dataset'!D$2:D$251)+IF('Final Project Dataset'!L$2:L$251&lt;&gt;"Premium",1,0),0)),"")</f>
        <v>Charles Allen</v>
      </c>
      <c r="C31" s="34" t="str">
        <f t="shared" si="0"/>
        <v>✅ Match</v>
      </c>
      <c r="D31" s="34" t="str">
        <v>Patricia Moore</v>
      </c>
    </row>
    <row r="32" spans="1:4">
      <c r="A32" s="34" t="str">
        <f>'Final Project Dataset'!D32</f>
        <v>Charles Allen</v>
      </c>
      <c r="B32" s="34" t="str" cm="1">
        <f t="array" ref="B32">IFERROR(INDEX('Final Project Dataset'!D$2:D$251,MATCH(0,COUNTIF(B$1:B31,'Final Project Dataset'!D$2:D$251)+IF('Final Project Dataset'!L$2:L$251&lt;&gt;"Premium",1,0),0)),"")</f>
        <v>William White</v>
      </c>
      <c r="C32" s="34" t="str">
        <f t="shared" si="0"/>
        <v>✅ Match</v>
      </c>
      <c r="D32" s="34" t="str">
        <v>Lisa Anderson</v>
      </c>
    </row>
    <row r="33" spans="1:4">
      <c r="A33" s="34" t="str">
        <f>'Final Project Dataset'!D33</f>
        <v>Lisa Anderson</v>
      </c>
      <c r="B33" s="34" t="str" cm="1">
        <f t="array" ref="B33">IFERROR(INDEX('Final Project Dataset'!D$2:D$251,MATCH(0,COUNTIF(B$1:B32,'Final Project Dataset'!D$2:D$251)+IF('Final Project Dataset'!L$2:L$251&lt;&gt;"Premium",1,0),0)),"")</f>
        <v>Nancy Collins</v>
      </c>
      <c r="C33" s="34" t="str">
        <f t="shared" si="0"/>
        <v>✅ Match</v>
      </c>
      <c r="D33" s="34" t="str">
        <v>Steven Turner</v>
      </c>
    </row>
    <row r="34" spans="1:4">
      <c r="A34" s="34" t="str">
        <f>'Final Project Dataset'!D34</f>
        <v>Emma Wilson</v>
      </c>
      <c r="B34" s="34" t="str" cm="1">
        <f t="array" ref="B34">IFERROR(INDEX('Final Project Dataset'!D$2:D$251,MATCH(0,COUNTIF(B$1:B33,'Final Project Dataset'!D$2:D$251)+IF('Final Project Dataset'!L$2:L$251&lt;&gt;"Premium",1,0),0)),"")</f>
        <v>James Johnson</v>
      </c>
      <c r="C34" s="34" t="str">
        <f t="shared" si="0"/>
        <v>✅ Match</v>
      </c>
      <c r="D34" s="34" t="str">
        <v>Harry Morgan</v>
      </c>
    </row>
    <row r="35" spans="1:4">
      <c r="A35" s="34" t="str">
        <f>'Final Project Dataset'!D35</f>
        <v>Kevin Scott</v>
      </c>
      <c r="B35" s="34" t="str" cm="1">
        <f t="array" ref="B35">IFERROR(INDEX('Final Project Dataset'!D$2:D$251,MATCH(0,COUNTIF(B$1:B34,'Final Project Dataset'!D$2:D$251)+IF('Final Project Dataset'!L$2:L$251&lt;&gt;"Premium",1,0),0)),"")</f>
        <v>Robert Thomas</v>
      </c>
      <c r="C35" s="34" t="str">
        <f t="shared" si="0"/>
        <v>✅ Match</v>
      </c>
      <c r="D35" s="34" t="str">
        <v>Daniel King</v>
      </c>
    </row>
    <row r="36" spans="1:4">
      <c r="A36" s="34" t="str">
        <f>'Final Project Dataset'!D36</f>
        <v>Patricia Moore</v>
      </c>
      <c r="B36" s="34" t="str" cm="1">
        <f t="array" ref="B36">IFERROR(INDEX('Final Project Dataset'!D$2:D$251,MATCH(0,COUNTIF(B$1:B35,'Final Project Dataset'!D$2:D$251)+IF('Final Project Dataset'!L$2:L$251&lt;&gt;"Premium",1,0),0)),"")</f>
        <v>Michelle Rogers</v>
      </c>
      <c r="C36" s="34" t="str">
        <f t="shared" si="0"/>
        <v>✅ Match</v>
      </c>
      <c r="D36" s="34" t="str">
        <v>Charles Allen</v>
      </c>
    </row>
    <row r="37" spans="1:4">
      <c r="A37" s="34" t="str">
        <f>'Final Project Dataset'!D37</f>
        <v>Lisa Anderson</v>
      </c>
      <c r="B37" s="34" t="str" cm="1">
        <f t="array" ref="B37">IFERROR(INDEX('Final Project Dataset'!D$2:D$251,MATCH(0,COUNTIF(B$1:B36,'Final Project Dataset'!D$2:D$251)+IF('Final Project Dataset'!L$2:L$251&lt;&gt;"Premium",1,0),0)),"")</f>
        <v>Douglas Watson</v>
      </c>
      <c r="C37" s="34" t="str">
        <f t="shared" si="0"/>
        <v>✅ Match</v>
      </c>
      <c r="D37" s="34" t="str">
        <v>Joseph Jackson</v>
      </c>
    </row>
    <row r="38" spans="1:4">
      <c r="A38" s="34" t="str">
        <f>'Final Project Dataset'!D38</f>
        <v>Steven Turner</v>
      </c>
      <c r="B38" s="34" t="str" cm="1">
        <f t="array" ref="B38">IFERROR(INDEX('Final Project Dataset'!D$2:D$251,MATCH(0,COUNTIF(B$1:B37,'Final Project Dataset'!D$2:D$251)+IF('Final Project Dataset'!L$2:L$251&lt;&gt;"Premium",1,0),0)),"")</f>
        <v>Ruth Brooks</v>
      </c>
      <c r="C38" s="34" t="str">
        <f t="shared" si="0"/>
        <v>✅ Match</v>
      </c>
      <c r="D38" s="34" t="str">
        <v>Betty Campbell</v>
      </c>
    </row>
    <row r="39" spans="1:4">
      <c r="A39" s="34" t="str">
        <f>'Final Project Dataset'!D39</f>
        <v>Jennifer Taylor</v>
      </c>
      <c r="B39" s="34" t="str" cm="1">
        <f t="array" ref="B39">IFERROR(INDEX('Final Project Dataset'!D$2:D$251,MATCH(0,COUNTIF(B$1:B38,'Final Project Dataset'!D$2:D$251)+IF('Final Project Dataset'!L$2:L$251&lt;&gt;"Premium",1,0),0)),"")</f>
        <v>Richard Lee</v>
      </c>
      <c r="C39" s="34" t="str">
        <f t="shared" si="0"/>
        <v>❌ No Match</v>
      </c>
      <c r="D39" s="34" t="str">
        <v>Michael Brown</v>
      </c>
    </row>
    <row r="40" spans="1:4">
      <c r="A40" s="34" t="str">
        <f>'Final Project Dataset'!D40</f>
        <v>Harry Morgan</v>
      </c>
      <c r="B40" s="34" t="str" cm="1">
        <f t="array" ref="B40">IFERROR(INDEX('Final Project Dataset'!D$2:D$251,MATCH(0,COUNTIF(B$1:B39,'Final Project Dataset'!D$2:D$251)+IF('Final Project Dataset'!L$2:L$251&lt;&gt;"Premium",1,0),0)),"")</f>
        <v>Arthur Edwards</v>
      </c>
      <c r="C40" s="34" t="str">
        <f t="shared" si="0"/>
        <v>✅ Match</v>
      </c>
      <c r="D40" s="34" t="str">
        <v>Lisa Anderson</v>
      </c>
    </row>
    <row r="41" spans="1:4">
      <c r="A41" s="34" t="str">
        <f>'Final Project Dataset'!D41</f>
        <v>Daniel King</v>
      </c>
      <c r="B41" s="34" t="str" cm="1">
        <f t="array" ref="B41">IFERROR(INDEX('Final Project Dataset'!D$2:D$251,MATCH(0,COUNTIF(B$1:B40,'Final Project Dataset'!D$2:D$251)+IF('Final Project Dataset'!L$2:L$251&lt;&gt;"Premium",1,0),0)),"")</f>
        <v>Dennis Gray</v>
      </c>
      <c r="C41" s="34" t="str">
        <f t="shared" si="0"/>
        <v>✅ Match</v>
      </c>
      <c r="D41" s="34" t="str">
        <v>Patricia Moore</v>
      </c>
    </row>
    <row r="42" spans="1:4">
      <c r="A42" s="34" t="str">
        <f>'Final Project Dataset'!D42</f>
        <v>Sharon Butler</v>
      </c>
      <c r="B42" s="34" t="str" cm="1">
        <f t="array" ref="B42">IFERROR(INDEX('Final Project Dataset'!D$2:D$251,MATCH(0,COUNTIF(B$1:B41,'Final Project Dataset'!D$2:D$251)+IF('Final Project Dataset'!L$2:L$251&lt;&gt;"Premium",1,0),0)),"")</f>
        <v>Sharon Butler</v>
      </c>
      <c r="C42" s="34" t="str">
        <f t="shared" si="0"/>
        <v>❌ No Match</v>
      </c>
      <c r="D42" s="34" t="str">
        <v>Paul Baker</v>
      </c>
    </row>
    <row r="43" spans="1:4">
      <c r="A43" s="34" t="str">
        <f>'Final Project Dataset'!D43</f>
        <v>Charles Allen</v>
      </c>
      <c r="B43" s="34" t="str" cm="1">
        <f t="array" ref="B43">IFERROR(INDEX('Final Project Dataset'!D$2:D$251,MATCH(0,COUNTIF(B$1:B42,'Final Project Dataset'!D$2:D$251)+IF('Final Project Dataset'!L$2:L$251&lt;&gt;"Premium",1,0),0)),"")</f>
        <v/>
      </c>
      <c r="C43" s="34" t="str">
        <f t="shared" si="0"/>
        <v>✅ Match</v>
      </c>
      <c r="D43" s="34" t="str">
        <v>Edward Mitchell</v>
      </c>
    </row>
    <row r="44" spans="1:4">
      <c r="A44" s="34" t="str">
        <f>'Final Project Dataset'!D44</f>
        <v>Sarah Davis</v>
      </c>
      <c r="B44" s="34" t="str" cm="1">
        <f t="array" ref="B44">IFERROR(INDEX('Final Project Dataset'!D$2:D$251,MATCH(0,COUNTIF(B$1:B43,'Final Project Dataset'!D$2:D$251)+IF('Final Project Dataset'!L$2:L$251&lt;&gt;"Premium",1,0),0)),"")</f>
        <v/>
      </c>
      <c r="C44" s="34" t="str">
        <f t="shared" si="0"/>
        <v>❌ No Match</v>
      </c>
      <c r="D44" s="34" t="str">
        <v>Betty Campbell</v>
      </c>
    </row>
    <row r="45" spans="1:4">
      <c r="A45" s="34" t="str">
        <f>'Final Project Dataset'!D45</f>
        <v>Joseph Jackson</v>
      </c>
      <c r="B45" s="34" t="str" cm="1">
        <f t="array" ref="B45">IFERROR(INDEX('Final Project Dataset'!D$2:D$251,MATCH(0,COUNTIF(B$1:B44,'Final Project Dataset'!D$2:D$251)+IF('Final Project Dataset'!L$2:L$251&lt;&gt;"Premium",1,0),0)),"")</f>
        <v/>
      </c>
      <c r="C45" s="34" t="str">
        <f t="shared" si="0"/>
        <v>✅ Match</v>
      </c>
      <c r="D45" s="34" t="str">
        <v>Kevin Scott</v>
      </c>
    </row>
    <row r="46" spans="1:4">
      <c r="A46" s="34" t="str">
        <f>'Final Project Dataset'!D46</f>
        <v>Betty Campbell</v>
      </c>
      <c r="B46" s="34" t="str" cm="1">
        <f t="array" ref="B46">IFERROR(INDEX('Final Project Dataset'!D$2:D$251,MATCH(0,COUNTIF(B$1:B45,'Final Project Dataset'!D$2:D$251)+IF('Final Project Dataset'!L$2:L$251&lt;&gt;"Premium",1,0),0)),"")</f>
        <v/>
      </c>
      <c r="C46" s="34" t="str">
        <f t="shared" si="0"/>
        <v>✅ Match</v>
      </c>
      <c r="D46" s="34" t="str">
        <v>Robert Thomas</v>
      </c>
    </row>
    <row r="47" spans="1:4">
      <c r="A47" s="34" t="str">
        <f>'Final Project Dataset'!D47</f>
        <v>Michael Brown</v>
      </c>
      <c r="B47" s="34" t="str" cm="1">
        <f t="array" ref="B47">IFERROR(INDEX('Final Project Dataset'!D$2:D$251,MATCH(0,COUNTIF(B$1:B46,'Final Project Dataset'!D$2:D$251)+IF('Final Project Dataset'!L$2:L$251&lt;&gt;"Premium",1,0),0)),"")</f>
        <v/>
      </c>
      <c r="C47" s="34" t="str">
        <f t="shared" si="0"/>
        <v>✅ Match</v>
      </c>
      <c r="D47" s="34" t="str">
        <v>Kathleen Bennett</v>
      </c>
    </row>
    <row r="48" spans="1:4">
      <c r="A48" s="34" t="str">
        <f>'Final Project Dataset'!D48</f>
        <v>Julie Foster</v>
      </c>
      <c r="B48" s="34" t="str" cm="1">
        <f t="array" ref="B48">IFERROR(INDEX('Final Project Dataset'!D$2:D$251,MATCH(0,COUNTIF(B$1:B47,'Final Project Dataset'!D$2:D$251)+IF('Final Project Dataset'!L$2:L$251&lt;&gt;"Premium",1,0),0)),"")</f>
        <v/>
      </c>
      <c r="C48" s="34" t="str">
        <f t="shared" si="0"/>
        <v>❌ No Match</v>
      </c>
      <c r="D48" s="34" t="str">
        <v>Patricia Moore</v>
      </c>
    </row>
    <row r="49" spans="1:4">
      <c r="A49" s="34" t="str">
        <f>'Final Project Dataset'!D49</f>
        <v>Lisa Anderson</v>
      </c>
      <c r="B49" s="34" t="str" cm="1">
        <f t="array" ref="B49">IFERROR(INDEX('Final Project Dataset'!D$2:D$251,MATCH(0,COUNTIF(B$1:B48,'Final Project Dataset'!D$2:D$251)+IF('Final Project Dataset'!L$2:L$251&lt;&gt;"Premium",1,0),0)),"")</f>
        <v/>
      </c>
      <c r="C49" s="34" t="str">
        <f t="shared" si="0"/>
        <v>✅ Match</v>
      </c>
      <c r="D49" s="34" t="str">
        <v>Emma Wilson</v>
      </c>
    </row>
    <row r="50" spans="1:4">
      <c r="A50" s="34" t="str">
        <f>'Final Project Dataset'!D50</f>
        <v>Patricia Moore</v>
      </c>
      <c r="B50" s="34" t="str" cm="1">
        <f t="array" ref="B50">IFERROR(INDEX('Final Project Dataset'!D$2:D$251,MATCH(0,COUNTIF(B$1:B49,'Final Project Dataset'!D$2:D$251)+IF('Final Project Dataset'!L$2:L$251&lt;&gt;"Premium",1,0),0)),"")</f>
        <v/>
      </c>
      <c r="C50" s="34" t="str">
        <f t="shared" si="0"/>
        <v>✅ Match</v>
      </c>
      <c r="D50" s="34" t="str">
        <v>Charles Allen</v>
      </c>
    </row>
    <row r="51" spans="1:4">
      <c r="A51" s="34" t="str">
        <f>'Final Project Dataset'!D51</f>
        <v>Paul Baker</v>
      </c>
      <c r="B51" s="34" t="str" cm="1">
        <f t="array" ref="B51">IFERROR(INDEX('Final Project Dataset'!D$2:D$251,MATCH(0,COUNTIF(B$1:B50,'Final Project Dataset'!D$2:D$251)+IF('Final Project Dataset'!L$2:L$251&lt;&gt;"Premium",1,0),0)),"")</f>
        <v/>
      </c>
      <c r="C51" s="34" t="str">
        <f t="shared" si="0"/>
        <v>✅ Match</v>
      </c>
      <c r="D51" s="34" t="str">
        <v>David Martinez</v>
      </c>
    </row>
    <row r="52" spans="1:4">
      <c r="A52" s="34" t="str">
        <f>'Final Project Dataset'!D52</f>
        <v>Edward Mitchell</v>
      </c>
      <c r="B52" s="34" t="str" cm="1">
        <f t="array" ref="B52">IFERROR(INDEX('Final Project Dataset'!D$2:D$251,MATCH(0,COUNTIF(B$1:B51,'Final Project Dataset'!D$2:D$251)+IF('Final Project Dataset'!L$2:L$251&lt;&gt;"Premium",1,0),0)),"")</f>
        <v/>
      </c>
      <c r="C52" s="34" t="str">
        <f t="shared" si="0"/>
        <v>✅ Match</v>
      </c>
      <c r="D52" s="34" t="str">
        <v>Margaret Wright</v>
      </c>
    </row>
    <row r="53" spans="1:4">
      <c r="A53" s="34" t="str">
        <f>'Final Project Dataset'!D53</f>
        <v>Betty Campbell</v>
      </c>
      <c r="B53" s="34" t="str" cm="1">
        <f t="array" ref="B53">IFERROR(INDEX('Final Project Dataset'!D$2:D$251,MATCH(0,COUNTIF(B$1:B52,'Final Project Dataset'!D$2:D$251)+IF('Final Project Dataset'!L$2:L$251&lt;&gt;"Premium",1,0),0)),"")</f>
        <v/>
      </c>
      <c r="C53" s="34" t="str">
        <f t="shared" si="0"/>
        <v>✅ Match</v>
      </c>
      <c r="D53" s="34" t="str">
        <v>Michael Brown</v>
      </c>
    </row>
    <row r="54" spans="1:4">
      <c r="A54" s="34" t="str">
        <f>'Final Project Dataset'!D54</f>
        <v>Jennifer Taylor</v>
      </c>
      <c r="B54" s="34" t="str" cm="1">
        <f t="array" ref="B54">IFERROR(INDEX('Final Project Dataset'!D$2:D$251,MATCH(0,COUNTIF(B$1:B53,'Final Project Dataset'!D$2:D$251)+IF('Final Project Dataset'!L$2:L$251&lt;&gt;"Premium",1,0),0)),"")</f>
        <v/>
      </c>
      <c r="C54" s="34" t="str">
        <f t="shared" si="0"/>
        <v>❌ No Match</v>
      </c>
      <c r="D54" s="34" t="str">
        <v>Barbara Young</v>
      </c>
    </row>
    <row r="55" spans="1:4">
      <c r="A55" s="34" t="str">
        <f>'Final Project Dataset'!D55</f>
        <v>Raymond Ross</v>
      </c>
      <c r="B55" s="34" t="str" cm="1">
        <f t="array" ref="B55">IFERROR(INDEX('Final Project Dataset'!D$2:D$251,MATCH(0,COUNTIF(B$1:B54,'Final Project Dataset'!D$2:D$251)+IF('Final Project Dataset'!L$2:L$251&lt;&gt;"Premium",1,0),0)),"")</f>
        <v/>
      </c>
      <c r="C55" s="34" t="str">
        <f t="shared" si="0"/>
        <v>❌ No Match</v>
      </c>
      <c r="D55" s="34" t="str">
        <v>Joseph Jackson</v>
      </c>
    </row>
    <row r="56" spans="1:4">
      <c r="A56" s="34" t="str">
        <f>'Final Project Dataset'!D56</f>
        <v>Kevin Scott</v>
      </c>
      <c r="B56" s="34" t="str" cm="1">
        <f t="array" ref="B56">IFERROR(INDEX('Final Project Dataset'!D$2:D$251,MATCH(0,COUNTIF(B$1:B55,'Final Project Dataset'!D$2:D$251)+IF('Final Project Dataset'!L$2:L$251&lt;&gt;"Premium",1,0),0)),"")</f>
        <v/>
      </c>
      <c r="C56" s="34" t="str">
        <f t="shared" si="0"/>
        <v>✅ Match</v>
      </c>
      <c r="D56" s="34" t="str">
        <v>Frank Torres</v>
      </c>
    </row>
    <row r="57" spans="1:4">
      <c r="A57" s="34" t="str">
        <f>'Final Project Dataset'!D57</f>
        <v>Robert Thomas</v>
      </c>
      <c r="B57" s="34" t="str" cm="1">
        <f t="array" ref="B57">IFERROR(INDEX('Final Project Dataset'!D$2:D$251,MATCH(0,COUNTIF(B$1:B56,'Final Project Dataset'!D$2:D$251)+IF('Final Project Dataset'!L$2:L$251&lt;&gt;"Premium",1,0),0)),"")</f>
        <v/>
      </c>
      <c r="C57" s="34" t="str">
        <f t="shared" si="0"/>
        <v>✅ Match</v>
      </c>
      <c r="D57" s="34" t="str">
        <v>Frank Torres</v>
      </c>
    </row>
    <row r="58" spans="1:4">
      <c r="A58" s="34" t="str">
        <f>'Final Project Dataset'!D58</f>
        <v>Kathleen Bennett</v>
      </c>
      <c r="B58" s="34" t="str" cm="1">
        <f t="array" ref="B58">IFERROR(INDEX('Final Project Dataset'!D$2:D$251,MATCH(0,COUNTIF(B$1:B57,'Final Project Dataset'!D$2:D$251)+IF('Final Project Dataset'!L$2:L$251&lt;&gt;"Premium",1,0),0)),"")</f>
        <v/>
      </c>
      <c r="C58" s="34" t="str">
        <f t="shared" si="0"/>
        <v>✅ Match</v>
      </c>
      <c r="D58" s="34" t="str">
        <v>Gerald Murphy</v>
      </c>
    </row>
    <row r="59" spans="1:4">
      <c r="A59" s="34" t="str">
        <f>'Final Project Dataset'!D59</f>
        <v>Patricia Moore</v>
      </c>
      <c r="B59" s="34" t="str" cm="1">
        <f t="array" ref="B59">IFERROR(INDEX('Final Project Dataset'!D$2:D$251,MATCH(0,COUNTIF(B$1:B58,'Final Project Dataset'!D$2:D$251)+IF('Final Project Dataset'!L$2:L$251&lt;&gt;"Premium",1,0),0)),"")</f>
        <v/>
      </c>
      <c r="C59" s="34" t="str">
        <f t="shared" si="0"/>
        <v>✅ Match</v>
      </c>
      <c r="D59" s="34" t="str">
        <v>Peter Richardson</v>
      </c>
    </row>
    <row r="60" spans="1:4">
      <c r="A60" s="34" t="str">
        <f>'Final Project Dataset'!D60</f>
        <v>Helen Roberts</v>
      </c>
      <c r="B60" s="34" t="str" cm="1">
        <f t="array" ref="B60">IFERROR(INDEX('Final Project Dataset'!D$2:D$251,MATCH(0,COUNTIF(B$1:B59,'Final Project Dataset'!D$2:D$251)+IF('Final Project Dataset'!L$2:L$251&lt;&gt;"Premium",1,0),0)),"")</f>
        <v/>
      </c>
      <c r="C60" s="34" t="str">
        <f t="shared" si="0"/>
        <v>❌ No Match</v>
      </c>
      <c r="D60" s="34" t="str">
        <v>Karen Hill</v>
      </c>
    </row>
    <row r="61" spans="1:4">
      <c r="A61" s="34" t="str">
        <f>'Final Project Dataset'!D61</f>
        <v>Emma Wilson</v>
      </c>
      <c r="B61" s="34" t="str" cm="1">
        <f t="array" ref="B61">IFERROR(INDEX('Final Project Dataset'!D$2:D$251,MATCH(0,COUNTIF(B$1:B60,'Final Project Dataset'!D$2:D$251)+IF('Final Project Dataset'!L$2:L$251&lt;&gt;"Premium",1,0),0)),"")</f>
        <v/>
      </c>
      <c r="C61" s="34" t="str">
        <f t="shared" si="0"/>
        <v>✅ Match</v>
      </c>
      <c r="D61" s="34" t="str">
        <v>Joseph Jackson</v>
      </c>
    </row>
    <row r="62" spans="1:4">
      <c r="A62" s="34" t="str">
        <f>'Final Project Dataset'!D62</f>
        <v>Charles Allen</v>
      </c>
      <c r="B62" s="34" t="str" cm="1">
        <f t="array" ref="B62">IFERROR(INDEX('Final Project Dataset'!D$2:D$251,MATCH(0,COUNTIF(B$1:B61,'Final Project Dataset'!D$2:D$251)+IF('Final Project Dataset'!L$2:L$251&lt;&gt;"Premium",1,0),0)),"")</f>
        <v/>
      </c>
      <c r="C62" s="34" t="str">
        <f t="shared" si="0"/>
        <v>✅ Match</v>
      </c>
      <c r="D62" s="34" t="str">
        <v>David Martinez</v>
      </c>
    </row>
    <row r="63" spans="1:4">
      <c r="A63" s="34" t="str">
        <f>'Final Project Dataset'!D63</f>
        <v>Susan Green</v>
      </c>
      <c r="B63" s="34" t="str" cm="1">
        <f t="array" ref="B63">IFERROR(INDEX('Final Project Dataset'!D$2:D$251,MATCH(0,COUNTIF(B$1:B62,'Final Project Dataset'!D$2:D$251)+IF('Final Project Dataset'!L$2:L$251&lt;&gt;"Premium",1,0),0)),"")</f>
        <v/>
      </c>
      <c r="C63" s="34" t="str">
        <f t="shared" si="0"/>
        <v>❌ No Match</v>
      </c>
      <c r="D63" s="34" t="str">
        <v>Gerald Murphy</v>
      </c>
    </row>
    <row r="64" spans="1:4">
      <c r="A64" s="34" t="str">
        <f>'Final Project Dataset'!D64</f>
        <v>David Martinez</v>
      </c>
      <c r="B64" s="34" t="str" cm="1">
        <f t="array" ref="B64">IFERROR(INDEX('Final Project Dataset'!D$2:D$251,MATCH(0,COUNTIF(B$1:B63,'Final Project Dataset'!D$2:D$251)+IF('Final Project Dataset'!L$2:L$251&lt;&gt;"Premium",1,0),0)),"")</f>
        <v/>
      </c>
      <c r="C64" s="34" t="str">
        <f t="shared" si="0"/>
        <v>✅ Match</v>
      </c>
      <c r="D64" s="34" t="str">
        <v>Barbara Young</v>
      </c>
    </row>
    <row r="65" spans="1:4">
      <c r="A65" s="34" t="str">
        <f>'Final Project Dataset'!D65</f>
        <v>Margaret Wright</v>
      </c>
      <c r="B65" s="34" t="str" cm="1">
        <f t="array" ref="B65">IFERROR(INDEX('Final Project Dataset'!D$2:D$251,MATCH(0,COUNTIF(B$1:B64,'Final Project Dataset'!D$2:D$251)+IF('Final Project Dataset'!L$2:L$251&lt;&gt;"Premium",1,0),0)),"")</f>
        <v/>
      </c>
      <c r="C65" s="34" t="str">
        <f t="shared" si="0"/>
        <v>✅ Match</v>
      </c>
      <c r="D65" s="34" t="str">
        <v>Daniel King</v>
      </c>
    </row>
    <row r="66" spans="1:4">
      <c r="A66" s="34" t="str">
        <f>'Final Project Dataset'!D66</f>
        <v>Michael Brown</v>
      </c>
      <c r="B66" s="34" t="str" cm="1">
        <f t="array" ref="B66">IFERROR(INDEX('Final Project Dataset'!D$2:D$251,MATCH(0,COUNTIF(B$1:B65,'Final Project Dataset'!D$2:D$251)+IF('Final Project Dataset'!L$2:L$251&lt;&gt;"Premium",1,0),0)),"")</f>
        <v/>
      </c>
      <c r="C66" s="34" t="str">
        <f t="shared" si="0"/>
        <v>✅ Match</v>
      </c>
      <c r="D66" s="34" t="str">
        <v>Mark Carter</v>
      </c>
    </row>
    <row r="67" spans="1:4">
      <c r="A67" s="34" t="str">
        <f>'Final Project Dataset'!D67</f>
        <v>Barbara Young</v>
      </c>
      <c r="B67" s="34" t="str" cm="1">
        <f t="array" ref="B67">IFERROR(INDEX('Final Project Dataset'!D$2:D$251,MATCH(0,COUNTIF(B$1:B66,'Final Project Dataset'!D$2:D$251)+IF('Final Project Dataset'!L$2:L$251&lt;&gt;"Premium",1,0),0)),"")</f>
        <v/>
      </c>
      <c r="C67" s="34" t="str">
        <f t="shared" ref="C67:C130" si="1">IF(COUNTIF($B$2:$B$41,A67)&gt;0,"✅ Match","❌ No Match")</f>
        <v>✅ Match</v>
      </c>
      <c r="D67" s="34" t="str">
        <v>Daniel King</v>
      </c>
    </row>
    <row r="68" spans="1:4">
      <c r="A68" s="34" t="str">
        <f>'Final Project Dataset'!D68</f>
        <v>Raymond Ross</v>
      </c>
      <c r="B68" s="34" t="str" cm="1">
        <f t="array" ref="B68">IFERROR(INDEX('Final Project Dataset'!D$2:D$251,MATCH(0,COUNTIF(B$1:B67,'Final Project Dataset'!D$2:D$251)+IF('Final Project Dataset'!L$2:L$251&lt;&gt;"Premium",1,0),0)),"")</f>
        <v/>
      </c>
      <c r="C68" s="34" t="str">
        <f t="shared" si="1"/>
        <v>❌ No Match</v>
      </c>
      <c r="D68" s="34" t="str">
        <v>Mark Carter</v>
      </c>
    </row>
    <row r="69" spans="1:4">
      <c r="A69" s="34" t="str">
        <f>'Final Project Dataset'!D69</f>
        <v>Joseph Jackson</v>
      </c>
      <c r="B69" s="34" t="str" cm="1">
        <f t="array" ref="B69">IFERROR(INDEX('Final Project Dataset'!D$2:D$251,MATCH(0,COUNTIF(B$1:B68,'Final Project Dataset'!D$2:D$251)+IF('Final Project Dataset'!L$2:L$251&lt;&gt;"Premium",1,0),0)),"")</f>
        <v/>
      </c>
      <c r="C69" s="34" t="str">
        <f t="shared" si="1"/>
        <v>✅ Match</v>
      </c>
      <c r="D69" s="34" t="str">
        <v>Elizabeth Hall</v>
      </c>
    </row>
    <row r="70" spans="1:4">
      <c r="A70" s="34" t="str">
        <f>'Final Project Dataset'!D70</f>
        <v>Frank Torres</v>
      </c>
      <c r="B70" s="34" t="str" cm="1">
        <f t="array" ref="B70">IFERROR(INDEX('Final Project Dataset'!D$2:D$251,MATCH(0,COUNTIF(B$1:B69,'Final Project Dataset'!D$2:D$251)+IF('Final Project Dataset'!L$2:L$251&lt;&gt;"Premium",1,0),0)),"")</f>
        <v/>
      </c>
      <c r="C70" s="34" t="str">
        <f t="shared" si="1"/>
        <v>✅ Match</v>
      </c>
      <c r="D70" s="34" t="str">
        <v>Maria Garcia</v>
      </c>
    </row>
    <row r="71" spans="1:4">
      <c r="A71" s="34" t="str">
        <f>'Final Project Dataset'!D71</f>
        <v>Frank Torres</v>
      </c>
      <c r="B71" s="34" t="str" cm="1">
        <f t="array" ref="B71">IFERROR(INDEX('Final Project Dataset'!D$2:D$251,MATCH(0,COUNTIF(B$1:B70,'Final Project Dataset'!D$2:D$251)+IF('Final Project Dataset'!L$2:L$251&lt;&gt;"Premium",1,0),0)),"")</f>
        <v/>
      </c>
      <c r="C71" s="34" t="str">
        <f t="shared" si="1"/>
        <v>✅ Match</v>
      </c>
      <c r="D71" s="34" t="str">
        <v>Mark Carter</v>
      </c>
    </row>
    <row r="72" spans="1:4">
      <c r="A72" s="34" t="str">
        <f>'Final Project Dataset'!D72</f>
        <v>Gerald Murphy</v>
      </c>
      <c r="B72" s="34" t="str" cm="1">
        <f t="array" ref="B72">IFERROR(INDEX('Final Project Dataset'!D$2:D$251,MATCH(0,COUNTIF(B$1:B71,'Final Project Dataset'!D$2:D$251)+IF('Final Project Dataset'!L$2:L$251&lt;&gt;"Premium",1,0),0)),"")</f>
        <v/>
      </c>
      <c r="C72" s="34" t="str">
        <f t="shared" si="1"/>
        <v>✅ Match</v>
      </c>
      <c r="D72" s="34" t="str">
        <v>David Martinez</v>
      </c>
    </row>
    <row r="73" spans="1:4">
      <c r="A73" s="34" t="str">
        <f>'Final Project Dataset'!D73</f>
        <v>Peter Richardson</v>
      </c>
      <c r="B73" s="34" t="str" cm="1">
        <f t="array" ref="B73">IFERROR(INDEX('Final Project Dataset'!D$2:D$251,MATCH(0,COUNTIF(B$1:B72,'Final Project Dataset'!D$2:D$251)+IF('Final Project Dataset'!L$2:L$251&lt;&gt;"Premium",1,0),0)),"")</f>
        <v/>
      </c>
      <c r="C73" s="34" t="str">
        <f t="shared" si="1"/>
        <v>✅ Match</v>
      </c>
      <c r="D73" s="34" t="str">
        <v>Margaret Wright</v>
      </c>
    </row>
    <row r="74" spans="1:4">
      <c r="A74" s="34" t="str">
        <f>'Final Project Dataset'!D74</f>
        <v>Karen Hill</v>
      </c>
      <c r="B74" s="34" t="str" cm="1">
        <f t="array" ref="B74">IFERROR(INDEX('Final Project Dataset'!D$2:D$251,MATCH(0,COUNTIF(B$1:B73,'Final Project Dataset'!D$2:D$251)+IF('Final Project Dataset'!L$2:L$251&lt;&gt;"Premium",1,0),0)),"")</f>
        <v/>
      </c>
      <c r="C74" s="34" t="str">
        <f t="shared" si="1"/>
        <v>✅ Match</v>
      </c>
      <c r="D74" s="34" t="str">
        <v>Karen Hill</v>
      </c>
    </row>
    <row r="75" spans="1:4">
      <c r="A75" s="34" t="str">
        <f>'Final Project Dataset'!D75</f>
        <v>Sharon Butler</v>
      </c>
      <c r="B75" s="34" t="str" cm="1">
        <f t="array" ref="B75">IFERROR(INDEX('Final Project Dataset'!D$2:D$251,MATCH(0,COUNTIF(B$1:B74,'Final Project Dataset'!D$2:D$251)+IF('Final Project Dataset'!L$2:L$251&lt;&gt;"Premium",1,0),0)),"")</f>
        <v/>
      </c>
      <c r="C75" s="34" t="str">
        <f t="shared" si="1"/>
        <v>❌ No Match</v>
      </c>
      <c r="D75" s="34" t="str">
        <v>Kathleen Bennett</v>
      </c>
    </row>
    <row r="76" spans="1:4">
      <c r="A76" s="34" t="str">
        <f>'Final Project Dataset'!D76</f>
        <v>Joseph Jackson</v>
      </c>
      <c r="B76" s="34" t="str" cm="1">
        <f t="array" ref="B76">IFERROR(INDEX('Final Project Dataset'!D$2:D$251,MATCH(0,COUNTIF(B$1:B75,'Final Project Dataset'!D$2:D$251)+IF('Final Project Dataset'!L$2:L$251&lt;&gt;"Premium",1,0),0)),"")</f>
        <v/>
      </c>
      <c r="C76" s="34" t="str">
        <f t="shared" si="1"/>
        <v>✅ Match</v>
      </c>
      <c r="D76" s="34" t="str">
        <v>Betty Campbell</v>
      </c>
    </row>
    <row r="77" spans="1:4">
      <c r="A77" s="34" t="str">
        <f>'Final Project Dataset'!D77</f>
        <v>David Martinez</v>
      </c>
      <c r="B77" s="34" t="str" cm="1">
        <f t="array" ref="B77">IFERROR(INDEX('Final Project Dataset'!D$2:D$251,MATCH(0,COUNTIF(B$1:B76,'Final Project Dataset'!D$2:D$251)+IF('Final Project Dataset'!L$2:L$251&lt;&gt;"Premium",1,0),0)),"")</f>
        <v/>
      </c>
      <c r="C77" s="34" t="str">
        <f t="shared" si="1"/>
        <v>✅ Match</v>
      </c>
      <c r="D77" s="34" t="str">
        <v>Mark Carter</v>
      </c>
    </row>
    <row r="78" spans="1:4">
      <c r="A78" s="34" t="str">
        <f>'Final Project Dataset'!D78</f>
        <v>Gerald Murphy</v>
      </c>
      <c r="B78" s="34" t="str" cm="1">
        <f t="array" ref="B78">IFERROR(INDEX('Final Project Dataset'!D$2:D$251,MATCH(0,COUNTIF(B$1:B77,'Final Project Dataset'!D$2:D$251)+IF('Final Project Dataset'!L$2:L$251&lt;&gt;"Premium",1,0),0)),"")</f>
        <v/>
      </c>
      <c r="C78" s="34" t="str">
        <f t="shared" si="1"/>
        <v>✅ Match</v>
      </c>
      <c r="D78" s="34" t="str">
        <v>Gerald Murphy</v>
      </c>
    </row>
    <row r="79" spans="1:4">
      <c r="A79" s="34" t="str">
        <f>'Final Project Dataset'!D79</f>
        <v>Barbara Young</v>
      </c>
      <c r="B79" s="34" t="str" cm="1">
        <f t="array" ref="B79">IFERROR(INDEX('Final Project Dataset'!D$2:D$251,MATCH(0,COUNTIF(B$1:B78,'Final Project Dataset'!D$2:D$251)+IF('Final Project Dataset'!L$2:L$251&lt;&gt;"Premium",1,0),0)),"")</f>
        <v/>
      </c>
      <c r="C79" s="34" t="str">
        <f t="shared" si="1"/>
        <v>✅ Match</v>
      </c>
      <c r="D79" s="34" t="str">
        <v>Nancy Collins</v>
      </c>
    </row>
    <row r="80" spans="1:4">
      <c r="A80" s="34" t="str">
        <f>'Final Project Dataset'!D80</f>
        <v>Daniel King</v>
      </c>
      <c r="B80" s="34" t="str" cm="1">
        <f t="array" ref="B80">IFERROR(INDEX('Final Project Dataset'!D$2:D$251,MATCH(0,COUNTIF(B$1:B79,'Final Project Dataset'!D$2:D$251)+IF('Final Project Dataset'!L$2:L$251&lt;&gt;"Premium",1,0),0)),"")</f>
        <v/>
      </c>
      <c r="C80" s="34" t="str">
        <f t="shared" si="1"/>
        <v>✅ Match</v>
      </c>
      <c r="D80" s="34" t="str">
        <v>Lawrence Reed</v>
      </c>
    </row>
    <row r="81" spans="1:4">
      <c r="A81" s="34" t="str">
        <f>'Final Project Dataset'!D81</f>
        <v>Mark Carter</v>
      </c>
      <c r="B81" s="34" t="str" cm="1">
        <f t="array" ref="B81">IFERROR(INDEX('Final Project Dataset'!D$2:D$251,MATCH(0,COUNTIF(B$1:B80,'Final Project Dataset'!D$2:D$251)+IF('Final Project Dataset'!L$2:L$251&lt;&gt;"Premium",1,0),0)),"")</f>
        <v/>
      </c>
      <c r="C81" s="34" t="str">
        <f t="shared" si="1"/>
        <v>✅ Match</v>
      </c>
      <c r="D81" s="34" t="str">
        <v>Harry Morgan</v>
      </c>
    </row>
    <row r="82" spans="1:4">
      <c r="A82" s="34" t="str">
        <f>'Final Project Dataset'!D82</f>
        <v>Daniel King</v>
      </c>
      <c r="B82" s="34" t="str" cm="1">
        <f t="array" ref="B82">IFERROR(INDEX('Final Project Dataset'!D$2:D$251,MATCH(0,COUNTIF(B$1:B81,'Final Project Dataset'!D$2:D$251)+IF('Final Project Dataset'!L$2:L$251&lt;&gt;"Premium",1,0),0)),"")</f>
        <v/>
      </c>
      <c r="C82" s="34" t="str">
        <f t="shared" si="1"/>
        <v>✅ Match</v>
      </c>
      <c r="D82" s="34" t="str">
        <v>Gerald Murphy</v>
      </c>
    </row>
    <row r="83" spans="1:4">
      <c r="A83" s="34" t="str">
        <f>'Final Project Dataset'!D83</f>
        <v>Mark Carter</v>
      </c>
      <c r="B83" s="34" t="str" cm="1">
        <f t="array" ref="B83">IFERROR(INDEX('Final Project Dataset'!D$2:D$251,MATCH(0,COUNTIF(B$1:B82,'Final Project Dataset'!D$2:D$251)+IF('Final Project Dataset'!L$2:L$251&lt;&gt;"Premium",1,0),0)),"")</f>
        <v/>
      </c>
      <c r="C83" s="34" t="str">
        <f t="shared" si="1"/>
        <v>✅ Match</v>
      </c>
      <c r="D83" s="34" t="str">
        <v>Carol Evans</v>
      </c>
    </row>
    <row r="84" spans="1:4">
      <c r="A84" s="34" t="str">
        <f>'Final Project Dataset'!D84</f>
        <v>Helen Roberts</v>
      </c>
      <c r="B84" s="34" t="str" cm="1">
        <f t="array" ref="B84">IFERROR(INDEX('Final Project Dataset'!D$2:D$251,MATCH(0,COUNTIF(B$1:B83,'Final Project Dataset'!D$2:D$251)+IF('Final Project Dataset'!L$2:L$251&lt;&gt;"Premium",1,0),0)),"")</f>
        <v/>
      </c>
      <c r="C84" s="34" t="str">
        <f t="shared" si="1"/>
        <v>❌ No Match</v>
      </c>
      <c r="D84" s="34" t="str">
        <v>Sandra Phillips</v>
      </c>
    </row>
    <row r="85" spans="1:4">
      <c r="A85" s="34" t="str">
        <f>'Final Project Dataset'!D85</f>
        <v>Elizabeth Hall</v>
      </c>
      <c r="B85" s="34" t="str" cm="1">
        <f t="array" ref="B85">IFERROR(INDEX('Final Project Dataset'!D$2:D$251,MATCH(0,COUNTIF(B$1:B84,'Final Project Dataset'!D$2:D$251)+IF('Final Project Dataset'!L$2:L$251&lt;&gt;"Premium",1,0),0)),"")</f>
        <v/>
      </c>
      <c r="C85" s="34" t="str">
        <f t="shared" si="1"/>
        <v>✅ Match</v>
      </c>
      <c r="D85" s="34" t="str">
        <v>Carol Evans</v>
      </c>
    </row>
    <row r="86" spans="1:4">
      <c r="A86" s="34" t="str">
        <f>'Final Project Dataset'!D86</f>
        <v>Cynthia Price</v>
      </c>
      <c r="B86" s="34" t="str" cm="1">
        <f t="array" ref="B86">IFERROR(INDEX('Final Project Dataset'!D$2:D$251,MATCH(0,COUNTIF(B$1:B85,'Final Project Dataset'!D$2:D$251)+IF('Final Project Dataset'!L$2:L$251&lt;&gt;"Premium",1,0),0)),"")</f>
        <v/>
      </c>
      <c r="C86" s="34" t="str">
        <f t="shared" si="1"/>
        <v>❌ No Match</v>
      </c>
      <c r="D86" s="34" t="str">
        <v>Paul Baker</v>
      </c>
    </row>
    <row r="87" spans="1:4">
      <c r="A87" s="34" t="str">
        <f>'Final Project Dataset'!D87</f>
        <v>Maria Garcia</v>
      </c>
      <c r="B87" s="34" t="str" cm="1">
        <f t="array" ref="B87">IFERROR(INDEX('Final Project Dataset'!D$2:D$251,MATCH(0,COUNTIF(B$1:B86,'Final Project Dataset'!D$2:D$251)+IF('Final Project Dataset'!L$2:L$251&lt;&gt;"Premium",1,0),0)),"")</f>
        <v/>
      </c>
      <c r="C87" s="34" t="str">
        <f t="shared" si="1"/>
        <v>✅ Match</v>
      </c>
      <c r="D87" s="34" t="str">
        <v>Lawrence Reed</v>
      </c>
    </row>
    <row r="88" spans="1:4">
      <c r="A88" s="34" t="str">
        <f>'Final Project Dataset'!D88</f>
        <v>Mark Carter</v>
      </c>
      <c r="B88" s="34" t="str" cm="1">
        <f t="array" ref="B88">IFERROR(INDEX('Final Project Dataset'!D$2:D$251,MATCH(0,COUNTIF(B$1:B87,'Final Project Dataset'!D$2:D$251)+IF('Final Project Dataset'!L$2:L$251&lt;&gt;"Premium",1,0),0)),"")</f>
        <v/>
      </c>
      <c r="C88" s="34" t="str">
        <f t="shared" si="1"/>
        <v>✅ Match</v>
      </c>
      <c r="D88" s="34" t="str">
        <v>Steven Turner</v>
      </c>
    </row>
    <row r="89" spans="1:4">
      <c r="A89" s="34" t="str">
        <f>'Final Project Dataset'!D89</f>
        <v>David Martinez</v>
      </c>
      <c r="B89" s="34" t="str" cm="1">
        <f t="array" ref="B89">IFERROR(INDEX('Final Project Dataset'!D$2:D$251,MATCH(0,COUNTIF(B$1:B88,'Final Project Dataset'!D$2:D$251)+IF('Final Project Dataset'!L$2:L$251&lt;&gt;"Premium",1,0),0)),"")</f>
        <v/>
      </c>
      <c r="C89" s="34" t="str">
        <f t="shared" si="1"/>
        <v>✅ Match</v>
      </c>
      <c r="D89" s="34" t="str">
        <v>Emma Wilson</v>
      </c>
    </row>
    <row r="90" spans="1:4">
      <c r="A90" s="34" t="str">
        <f>'Final Project Dataset'!D90</f>
        <v>Margaret Wright</v>
      </c>
      <c r="B90" s="34" t="str" cm="1">
        <f t="array" ref="B90">IFERROR(INDEX('Final Project Dataset'!D$2:D$251,MATCH(0,COUNTIF(B$1:B89,'Final Project Dataset'!D$2:D$251)+IF('Final Project Dataset'!L$2:L$251&lt;&gt;"Premium",1,0),0)),"")</f>
        <v/>
      </c>
      <c r="C90" s="34" t="str">
        <f t="shared" si="1"/>
        <v>✅ Match</v>
      </c>
      <c r="D90" s="34" t="str">
        <v>Charles Allen</v>
      </c>
    </row>
    <row r="91" spans="1:4">
      <c r="A91" s="34" t="str">
        <f>'Final Project Dataset'!D91</f>
        <v>Karen Hill</v>
      </c>
      <c r="B91" s="34" t="str" cm="1">
        <f t="array" ref="B91">IFERROR(INDEX('Final Project Dataset'!D$2:D$251,MATCH(0,COUNTIF(B$1:B90,'Final Project Dataset'!D$2:D$251)+IF('Final Project Dataset'!L$2:L$251&lt;&gt;"Premium",1,0),0)),"")</f>
        <v/>
      </c>
      <c r="C91" s="34" t="str">
        <f t="shared" si="1"/>
        <v>✅ Match</v>
      </c>
      <c r="D91" s="34" t="str">
        <v>Dorothy Nelson</v>
      </c>
    </row>
    <row r="92" spans="1:4">
      <c r="A92" s="34" t="str">
        <f>'Final Project Dataset'!D92</f>
        <v>Kathleen Bennett</v>
      </c>
      <c r="B92" s="34" t="str" cm="1">
        <f t="array" ref="B92">IFERROR(INDEX('Final Project Dataset'!D$2:D$251,MATCH(0,COUNTIF(B$1:B91,'Final Project Dataset'!D$2:D$251)+IF('Final Project Dataset'!L$2:L$251&lt;&gt;"Premium",1,0),0)),"")</f>
        <v/>
      </c>
      <c r="C92" s="34" t="str">
        <f t="shared" si="1"/>
        <v>✅ Match</v>
      </c>
      <c r="D92" s="34" t="str">
        <v>Kathleen Bennett</v>
      </c>
    </row>
    <row r="93" spans="1:4">
      <c r="A93" s="34" t="str">
        <f>'Final Project Dataset'!D93</f>
        <v>Betty Campbell</v>
      </c>
      <c r="B93" s="34" t="str" cm="1">
        <f t="array" ref="B93">IFERROR(INDEX('Final Project Dataset'!D$2:D$251,MATCH(0,COUNTIF(B$1:B92,'Final Project Dataset'!D$2:D$251)+IF('Final Project Dataset'!L$2:L$251&lt;&gt;"Premium",1,0),0)),"")</f>
        <v/>
      </c>
      <c r="C93" s="34" t="str">
        <f t="shared" si="1"/>
        <v>✅ Match</v>
      </c>
      <c r="D93" s="34" t="str">
        <v>Ruth Brooks</v>
      </c>
    </row>
    <row r="94" spans="1:4">
      <c r="A94" s="34" t="str">
        <f>'Final Project Dataset'!D94</f>
        <v>Mark Carter</v>
      </c>
      <c r="B94" s="34" t="str" cm="1">
        <f t="array" ref="B94">IFERROR(INDEX('Final Project Dataset'!D$2:D$251,MATCH(0,COUNTIF(B$1:B93,'Final Project Dataset'!D$2:D$251)+IF('Final Project Dataset'!L$2:L$251&lt;&gt;"Premium",1,0),0)),"")</f>
        <v/>
      </c>
      <c r="C94" s="34" t="str">
        <f t="shared" si="1"/>
        <v>✅ Match</v>
      </c>
      <c r="D94" s="34" t="str">
        <v>Karen Hill</v>
      </c>
    </row>
    <row r="95" spans="1:4">
      <c r="A95" s="34" t="str">
        <f>'Final Project Dataset'!D95</f>
        <v>Gerald Murphy</v>
      </c>
      <c r="B95" s="34" t="str" cm="1">
        <f t="array" ref="B95">IFERROR(INDEX('Final Project Dataset'!D$2:D$251,MATCH(0,COUNTIF(B$1:B94,'Final Project Dataset'!D$2:D$251)+IF('Final Project Dataset'!L$2:L$251&lt;&gt;"Premium",1,0),0)),"")</f>
        <v/>
      </c>
      <c r="C95" s="34" t="str">
        <f t="shared" si="1"/>
        <v>✅ Match</v>
      </c>
      <c r="D95" s="34" t="str">
        <v>Daniel King</v>
      </c>
    </row>
    <row r="96" spans="1:4">
      <c r="A96" s="34" t="str">
        <f>'Final Project Dataset'!D96</f>
        <v>Nancy Collins</v>
      </c>
      <c r="B96" s="34" t="str" cm="1">
        <f t="array" ref="B96">IFERROR(INDEX('Final Project Dataset'!D$2:D$251,MATCH(0,COUNTIF(B$1:B95,'Final Project Dataset'!D$2:D$251)+IF('Final Project Dataset'!L$2:L$251&lt;&gt;"Premium",1,0),0)),"")</f>
        <v/>
      </c>
      <c r="C96" s="34" t="str">
        <f t="shared" si="1"/>
        <v>✅ Match</v>
      </c>
      <c r="D96" s="34" t="str">
        <v>William White</v>
      </c>
    </row>
    <row r="97" spans="1:4">
      <c r="A97" s="34" t="str">
        <f>'Final Project Dataset'!D97</f>
        <v>Cynthia Price</v>
      </c>
      <c r="B97" s="34" t="str" cm="1">
        <f t="array" ref="B97">IFERROR(INDEX('Final Project Dataset'!D$2:D$251,MATCH(0,COUNTIF(B$1:B96,'Final Project Dataset'!D$2:D$251)+IF('Final Project Dataset'!L$2:L$251&lt;&gt;"Premium",1,0),0)),"")</f>
        <v/>
      </c>
      <c r="C97" s="34" t="str">
        <f t="shared" si="1"/>
        <v>❌ No Match</v>
      </c>
      <c r="D97" s="34" t="str">
        <v>Peter Richardson</v>
      </c>
    </row>
    <row r="98" spans="1:4">
      <c r="A98" s="34" t="str">
        <f>'Final Project Dataset'!D98</f>
        <v>Lawrence Reed</v>
      </c>
      <c r="B98" s="34" t="str" cm="1">
        <f t="array" ref="B98">IFERROR(INDEX('Final Project Dataset'!D$2:D$251,MATCH(0,COUNTIF(B$1:B97,'Final Project Dataset'!D$2:D$251)+IF('Final Project Dataset'!L$2:L$251&lt;&gt;"Premium",1,0),0)),"")</f>
        <v/>
      </c>
      <c r="C98" s="34" t="str">
        <f t="shared" si="1"/>
        <v>✅ Match</v>
      </c>
      <c r="D98" s="34" t="str">
        <v>Sandra Phillips</v>
      </c>
    </row>
    <row r="99" spans="1:4">
      <c r="A99" s="34" t="str">
        <f>'Final Project Dataset'!D99</f>
        <v>Harry Morgan</v>
      </c>
      <c r="B99" s="34" t="str" cm="1">
        <f t="array" ref="B99">IFERROR(INDEX('Final Project Dataset'!D$2:D$251,MATCH(0,COUNTIF(B$1:B98,'Final Project Dataset'!D$2:D$251)+IF('Final Project Dataset'!L$2:L$251&lt;&gt;"Premium",1,0),0)),"")</f>
        <v/>
      </c>
      <c r="C99" s="34" t="str">
        <f t="shared" si="1"/>
        <v>✅ Match</v>
      </c>
      <c r="D99" s="34" t="str">
        <v>Linda Martin</v>
      </c>
    </row>
    <row r="100" spans="1:4">
      <c r="A100" s="34" t="str">
        <f>'Final Project Dataset'!D100</f>
        <v>Gerald Murphy</v>
      </c>
      <c r="B100" s="34" t="str" cm="1">
        <f t="array" ref="B100">IFERROR(INDEX('Final Project Dataset'!D$2:D$251,MATCH(0,COUNTIF(B$1:B99,'Final Project Dataset'!D$2:D$251)+IF('Final Project Dataset'!L$2:L$251&lt;&gt;"Premium",1,0),0)),"")</f>
        <v/>
      </c>
      <c r="C100" s="34" t="str">
        <f t="shared" si="1"/>
        <v>✅ Match</v>
      </c>
      <c r="D100" s="34" t="str">
        <v>Patricia Moore</v>
      </c>
    </row>
    <row r="101" spans="1:4">
      <c r="A101" s="34" t="str">
        <f>'Final Project Dataset'!D101</f>
        <v>Carol Evans</v>
      </c>
      <c r="B101" s="34" t="str" cm="1">
        <f t="array" ref="B101">IFERROR(INDEX('Final Project Dataset'!D$2:D$251,MATCH(0,COUNTIF(B$1:B100,'Final Project Dataset'!D$2:D$251)+IF('Final Project Dataset'!L$2:L$251&lt;&gt;"Premium",1,0),0)),"")</f>
        <v/>
      </c>
      <c r="C101" s="34" t="str">
        <f t="shared" si="1"/>
        <v>✅ Match</v>
      </c>
      <c r="D101" s="34" t="str">
        <v>Richard Lee</v>
      </c>
    </row>
    <row r="102" spans="1:4">
      <c r="A102" s="34" t="str">
        <f>'Final Project Dataset'!D102</f>
        <v>Sandra Phillips</v>
      </c>
      <c r="B102" s="34" t="str" cm="1">
        <f t="array" ref="B102">IFERROR(INDEX('Final Project Dataset'!D$2:D$251,MATCH(0,COUNTIF(B$1:B101,'Final Project Dataset'!D$2:D$251)+IF('Final Project Dataset'!L$2:L$251&lt;&gt;"Premium",1,0),0)),"")</f>
        <v/>
      </c>
      <c r="C102" s="34" t="str">
        <f t="shared" si="1"/>
        <v>✅ Match</v>
      </c>
      <c r="D102" s="34" t="str">
        <v>Michael Brown</v>
      </c>
    </row>
    <row r="103" spans="1:4">
      <c r="A103" s="34" t="str">
        <f>'Final Project Dataset'!D103</f>
        <v>Carol Evans</v>
      </c>
      <c r="B103" s="34" t="str" cm="1">
        <f t="array" ref="B103">IFERROR(INDEX('Final Project Dataset'!D$2:D$251,MATCH(0,COUNTIF(B$1:B102,'Final Project Dataset'!D$2:D$251)+IF('Final Project Dataset'!L$2:L$251&lt;&gt;"Premium",1,0),0)),"")</f>
        <v/>
      </c>
      <c r="C103" s="34" t="str">
        <f t="shared" si="1"/>
        <v>✅ Match</v>
      </c>
      <c r="D103" s="34" t="str">
        <v>Maria Garcia</v>
      </c>
    </row>
    <row r="104" spans="1:4">
      <c r="A104" s="34" t="str">
        <f>'Final Project Dataset'!D104</f>
        <v>Paul Baker</v>
      </c>
      <c r="B104" s="34" t="str" cm="1">
        <f t="array" ref="B104">IFERROR(INDEX('Final Project Dataset'!D$2:D$251,MATCH(0,COUNTIF(B$1:B103,'Final Project Dataset'!D$2:D$251)+IF('Final Project Dataset'!L$2:L$251&lt;&gt;"Premium",1,0),0)),"")</f>
        <v/>
      </c>
      <c r="C104" s="34" t="str">
        <f t="shared" si="1"/>
        <v>✅ Match</v>
      </c>
      <c r="D104" s="34" t="str">
        <v>Sandra Phillips</v>
      </c>
    </row>
    <row r="105" spans="1:4">
      <c r="A105" s="34" t="str">
        <f>'Final Project Dataset'!D105</f>
        <v>Lawrence Reed</v>
      </c>
      <c r="B105" s="34" t="str" cm="1">
        <f t="array" ref="B105">IFERROR(INDEX('Final Project Dataset'!D$2:D$251,MATCH(0,COUNTIF(B$1:B104,'Final Project Dataset'!D$2:D$251)+IF('Final Project Dataset'!L$2:L$251&lt;&gt;"Premium",1,0),0)),"")</f>
        <v/>
      </c>
      <c r="C105" s="34" t="str">
        <f t="shared" si="1"/>
        <v>✅ Match</v>
      </c>
      <c r="D105" s="34" t="str">
        <v>Elizabeth Hall</v>
      </c>
    </row>
    <row r="106" spans="1:4">
      <c r="A106" s="34" t="str">
        <f>'Final Project Dataset'!D106</f>
        <v>Steven Turner</v>
      </c>
      <c r="B106" s="34" t="str" cm="1">
        <f t="array" ref="B106">IFERROR(INDEX('Final Project Dataset'!D$2:D$251,MATCH(0,COUNTIF(B$1:B105,'Final Project Dataset'!D$2:D$251)+IF('Final Project Dataset'!L$2:L$251&lt;&gt;"Premium",1,0),0)),"")</f>
        <v/>
      </c>
      <c r="C106" s="34" t="str">
        <f t="shared" si="1"/>
        <v>✅ Match</v>
      </c>
      <c r="D106" s="34" t="str">
        <v>Carol Evans</v>
      </c>
    </row>
    <row r="107" spans="1:4">
      <c r="A107" s="34" t="str">
        <f>'Final Project Dataset'!D107</f>
        <v>Emma Wilson</v>
      </c>
      <c r="B107" s="34" t="str" cm="1">
        <f t="array" ref="B107">IFERROR(INDEX('Final Project Dataset'!D$2:D$251,MATCH(0,COUNTIF(B$1:B106,'Final Project Dataset'!D$2:D$251)+IF('Final Project Dataset'!L$2:L$251&lt;&gt;"Premium",1,0),0)),"")</f>
        <v/>
      </c>
      <c r="C107" s="34" t="str">
        <f t="shared" si="1"/>
        <v>✅ Match</v>
      </c>
      <c r="D107" s="34" t="str">
        <v>Daniel King</v>
      </c>
    </row>
    <row r="108" spans="1:4">
      <c r="A108" s="34" t="str">
        <f>'Final Project Dataset'!D108</f>
        <v>Jennifer Taylor</v>
      </c>
      <c r="B108" s="34" t="str" cm="1">
        <f t="array" ref="B108">IFERROR(INDEX('Final Project Dataset'!D$2:D$251,MATCH(0,COUNTIF(B$1:B107,'Final Project Dataset'!D$2:D$251)+IF('Final Project Dataset'!L$2:L$251&lt;&gt;"Premium",1,0),0)),"")</f>
        <v/>
      </c>
      <c r="C108" s="34" t="str">
        <f t="shared" si="1"/>
        <v>❌ No Match</v>
      </c>
      <c r="D108" s="34" t="str">
        <v>Barbara Young</v>
      </c>
    </row>
    <row r="109" spans="1:4">
      <c r="A109" s="34" t="str">
        <f>'Final Project Dataset'!D109</f>
        <v>Charles Allen</v>
      </c>
      <c r="B109" s="34" t="str" cm="1">
        <f t="array" ref="B109">IFERROR(INDEX('Final Project Dataset'!D$2:D$251,MATCH(0,COUNTIF(B$1:B108,'Final Project Dataset'!D$2:D$251)+IF('Final Project Dataset'!L$2:L$251&lt;&gt;"Premium",1,0),0)),"")</f>
        <v/>
      </c>
      <c r="C109" s="34" t="str">
        <f t="shared" si="1"/>
        <v>✅ Match</v>
      </c>
      <c r="D109" s="34" t="str">
        <v>Lawrence Reed</v>
      </c>
    </row>
    <row r="110" spans="1:4">
      <c r="A110" s="34" t="str">
        <f>'Final Project Dataset'!D110</f>
        <v>Dorothy Nelson</v>
      </c>
      <c r="B110" s="34" t="str" cm="1">
        <f t="array" ref="B110">IFERROR(INDEX('Final Project Dataset'!D$2:D$251,MATCH(0,COUNTIF(B$1:B109,'Final Project Dataset'!D$2:D$251)+IF('Final Project Dataset'!L$2:L$251&lt;&gt;"Premium",1,0),0)),"")</f>
        <v/>
      </c>
      <c r="C110" s="34" t="str">
        <f t="shared" si="1"/>
        <v>✅ Match</v>
      </c>
      <c r="D110" s="34" t="str">
        <v>Lawrence Reed</v>
      </c>
    </row>
    <row r="111" spans="1:4">
      <c r="A111" s="34" t="str">
        <f>'Final Project Dataset'!D111</f>
        <v>Kathleen Bennett</v>
      </c>
      <c r="B111" s="34" t="str" cm="1">
        <f t="array" ref="B111">IFERROR(INDEX('Final Project Dataset'!D$2:D$251,MATCH(0,COUNTIF(B$1:B110,'Final Project Dataset'!D$2:D$251)+IF('Final Project Dataset'!L$2:L$251&lt;&gt;"Premium",1,0),0)),"")</f>
        <v/>
      </c>
      <c r="C111" s="34" t="str">
        <f t="shared" si="1"/>
        <v>✅ Match</v>
      </c>
      <c r="D111" s="34" t="str">
        <v>Kathleen Bennett</v>
      </c>
    </row>
    <row r="112" spans="1:4">
      <c r="A112" s="34" t="str">
        <f>'Final Project Dataset'!D112</f>
        <v>Ruth Brooks</v>
      </c>
      <c r="B112" s="34" t="str" cm="1">
        <f t="array" ref="B112">IFERROR(INDEX('Final Project Dataset'!D$2:D$251,MATCH(0,COUNTIF(B$1:B111,'Final Project Dataset'!D$2:D$251)+IF('Final Project Dataset'!L$2:L$251&lt;&gt;"Premium",1,0),0)),"")</f>
        <v/>
      </c>
      <c r="C112" s="34" t="str">
        <f t="shared" si="1"/>
        <v>✅ Match</v>
      </c>
      <c r="D112" s="34" t="str">
        <v>Betty Campbell</v>
      </c>
    </row>
    <row r="113" spans="1:4">
      <c r="A113" s="34" t="str">
        <f>'Final Project Dataset'!D113</f>
        <v>Karen Hill</v>
      </c>
      <c r="B113" s="34" t="str" cm="1">
        <f t="array" ref="B113">IFERROR(INDEX('Final Project Dataset'!D$2:D$251,MATCH(0,COUNTIF(B$1:B112,'Final Project Dataset'!D$2:D$251)+IF('Final Project Dataset'!L$2:L$251&lt;&gt;"Premium",1,0),0)),"")</f>
        <v/>
      </c>
      <c r="C113" s="34" t="str">
        <f t="shared" si="1"/>
        <v>✅ Match</v>
      </c>
      <c r="D113" s="34" t="str">
        <v>Paul Baker</v>
      </c>
    </row>
    <row r="114" spans="1:4">
      <c r="A114" s="34" t="str">
        <f>'Final Project Dataset'!D114</f>
        <v>Sarah Davis</v>
      </c>
      <c r="B114" s="34" t="str" cm="1">
        <f t="array" ref="B114">IFERROR(INDEX('Final Project Dataset'!D$2:D$251,MATCH(0,COUNTIF(B$1:B113,'Final Project Dataset'!D$2:D$251)+IF('Final Project Dataset'!L$2:L$251&lt;&gt;"Premium",1,0),0)),"")</f>
        <v/>
      </c>
      <c r="C114" s="34" t="str">
        <f t="shared" si="1"/>
        <v>❌ No Match</v>
      </c>
      <c r="D114" s="34" t="str">
        <v>Karen Hill</v>
      </c>
    </row>
    <row r="115" spans="1:4">
      <c r="A115" s="34" t="str">
        <f>'Final Project Dataset'!D115</f>
        <v>Daniel King</v>
      </c>
      <c r="B115" s="34" t="str" cm="1">
        <f t="array" ref="B115">IFERROR(INDEX('Final Project Dataset'!D$2:D$251,MATCH(0,COUNTIF(B$1:B114,'Final Project Dataset'!D$2:D$251)+IF('Final Project Dataset'!L$2:L$251&lt;&gt;"Premium",1,0),0)),"")</f>
        <v/>
      </c>
      <c r="C115" s="34" t="str">
        <f t="shared" si="1"/>
        <v>✅ Match</v>
      </c>
      <c r="D115" s="34" t="str">
        <v>Patricia Moore</v>
      </c>
    </row>
    <row r="116" spans="1:4">
      <c r="A116" s="34" t="str">
        <f>'Final Project Dataset'!D116</f>
        <v>William White</v>
      </c>
      <c r="B116" s="34" t="str" cm="1">
        <f t="array" ref="B116">IFERROR(INDEX('Final Project Dataset'!D$2:D$251,MATCH(0,COUNTIF(B$1:B115,'Final Project Dataset'!D$2:D$251)+IF('Final Project Dataset'!L$2:L$251&lt;&gt;"Premium",1,0),0)),"")</f>
        <v/>
      </c>
      <c r="C116" s="34" t="str">
        <f t="shared" si="1"/>
        <v>✅ Match</v>
      </c>
      <c r="D116" s="34" t="str">
        <v>Maria Garcia</v>
      </c>
    </row>
    <row r="117" spans="1:4">
      <c r="A117" s="34" t="str">
        <f>'Final Project Dataset'!D117</f>
        <v>Peter Richardson</v>
      </c>
      <c r="B117" s="34" t="str" cm="1">
        <f t="array" ref="B117">IFERROR(INDEX('Final Project Dataset'!D$2:D$251,MATCH(0,COUNTIF(B$1:B116,'Final Project Dataset'!D$2:D$251)+IF('Final Project Dataset'!L$2:L$251&lt;&gt;"Premium",1,0),0)),"")</f>
        <v/>
      </c>
      <c r="C117" s="34" t="str">
        <f t="shared" si="1"/>
        <v>✅ Match</v>
      </c>
      <c r="D117" s="34" t="str">
        <v>Margaret Wright</v>
      </c>
    </row>
    <row r="118" spans="1:4">
      <c r="A118" s="34" t="str">
        <f>'Final Project Dataset'!D118</f>
        <v>Sandra Phillips</v>
      </c>
      <c r="B118" s="34" t="str" cm="1">
        <f t="array" ref="B118">IFERROR(INDEX('Final Project Dataset'!D$2:D$251,MATCH(0,COUNTIF(B$1:B117,'Final Project Dataset'!D$2:D$251)+IF('Final Project Dataset'!L$2:L$251&lt;&gt;"Premium",1,0),0)),"")</f>
        <v/>
      </c>
      <c r="C118" s="34" t="str">
        <f t="shared" si="1"/>
        <v>✅ Match</v>
      </c>
      <c r="D118" s="34" t="str">
        <v>Peter Richardson</v>
      </c>
    </row>
    <row r="119" spans="1:4">
      <c r="A119" s="34" t="str">
        <f>'Final Project Dataset'!D119</f>
        <v>Linda Martin</v>
      </c>
      <c r="B119" s="34" t="str" cm="1">
        <f t="array" ref="B119">IFERROR(INDEX('Final Project Dataset'!D$2:D$251,MATCH(0,COUNTIF(B$1:B118,'Final Project Dataset'!D$2:D$251)+IF('Final Project Dataset'!L$2:L$251&lt;&gt;"Premium",1,0),0)),"")</f>
        <v/>
      </c>
      <c r="C119" s="34" t="str">
        <f t="shared" si="1"/>
        <v>✅ Match</v>
      </c>
      <c r="D119" s="34" t="str">
        <v>Paul Baker</v>
      </c>
    </row>
    <row r="120" spans="1:4">
      <c r="A120" s="34" t="str">
        <f>'Final Project Dataset'!D120</f>
        <v>Patricia Moore</v>
      </c>
      <c r="B120" s="34" t="str" cm="1">
        <f t="array" ref="B120">IFERROR(INDEX('Final Project Dataset'!D$2:D$251,MATCH(0,COUNTIF(B$1:B119,'Final Project Dataset'!D$2:D$251)+IF('Final Project Dataset'!L$2:L$251&lt;&gt;"Premium",1,0),0)),"")</f>
        <v/>
      </c>
      <c r="C120" s="34" t="str">
        <f t="shared" si="1"/>
        <v>✅ Match</v>
      </c>
      <c r="D120" s="34" t="str">
        <v>Patricia Moore</v>
      </c>
    </row>
    <row r="121" spans="1:4">
      <c r="A121" s="34" t="str">
        <f>'Final Project Dataset'!D121</f>
        <v>Richard Lee</v>
      </c>
      <c r="B121" s="34" t="str" cm="1">
        <f t="array" ref="B121">IFERROR(INDEX('Final Project Dataset'!D$2:D$251,MATCH(0,COUNTIF(B$1:B120,'Final Project Dataset'!D$2:D$251)+IF('Final Project Dataset'!L$2:L$251&lt;&gt;"Premium",1,0),0)),"")</f>
        <v/>
      </c>
      <c r="C121" s="34" t="str">
        <f t="shared" si="1"/>
        <v>✅ Match</v>
      </c>
      <c r="D121" s="34" t="str">
        <v>Sandra Phillips</v>
      </c>
    </row>
    <row r="122" spans="1:4">
      <c r="A122" s="34" t="str">
        <f>'Final Project Dataset'!D122</f>
        <v>Michael Brown</v>
      </c>
      <c r="B122" s="34" t="str" cm="1">
        <f t="array" ref="B122">IFERROR(INDEX('Final Project Dataset'!D$2:D$251,MATCH(0,COUNTIF(B$1:B121,'Final Project Dataset'!D$2:D$251)+IF('Final Project Dataset'!L$2:L$251&lt;&gt;"Premium",1,0),0)),"")</f>
        <v/>
      </c>
      <c r="C122" s="34" t="str">
        <f t="shared" si="1"/>
        <v>✅ Match</v>
      </c>
      <c r="D122" s="34" t="str">
        <v>Mark Carter</v>
      </c>
    </row>
    <row r="123" spans="1:4">
      <c r="A123" s="34" t="str">
        <f>'Final Project Dataset'!D123</f>
        <v>Maria Garcia</v>
      </c>
      <c r="B123" s="34" t="str" cm="1">
        <f t="array" ref="B123">IFERROR(INDEX('Final Project Dataset'!D$2:D$251,MATCH(0,COUNTIF(B$1:B122,'Final Project Dataset'!D$2:D$251)+IF('Final Project Dataset'!L$2:L$251&lt;&gt;"Premium",1,0),0)),"")</f>
        <v/>
      </c>
      <c r="C123" s="34" t="str">
        <f t="shared" si="1"/>
        <v>✅ Match</v>
      </c>
      <c r="D123" s="34" t="str">
        <v>Edward Mitchell</v>
      </c>
    </row>
    <row r="124" spans="1:4">
      <c r="A124" s="34" t="str">
        <f>'Final Project Dataset'!D124</f>
        <v>Sandra Phillips</v>
      </c>
      <c r="B124" s="34" t="str" cm="1">
        <f t="array" ref="B124">IFERROR(INDEX('Final Project Dataset'!D$2:D$251,MATCH(0,COUNTIF(B$1:B123,'Final Project Dataset'!D$2:D$251)+IF('Final Project Dataset'!L$2:L$251&lt;&gt;"Premium",1,0),0)),"")</f>
        <v/>
      </c>
      <c r="C124" s="34" t="str">
        <f t="shared" si="1"/>
        <v>✅ Match</v>
      </c>
      <c r="D124" s="34" t="str">
        <v>Frank Torres</v>
      </c>
    </row>
    <row r="125" spans="1:4">
      <c r="A125" s="34" t="str">
        <f>'Final Project Dataset'!D125</f>
        <v>Elizabeth Hall</v>
      </c>
      <c r="B125" s="34" t="str" cm="1">
        <f t="array" ref="B125">IFERROR(INDEX('Final Project Dataset'!D$2:D$251,MATCH(0,COUNTIF(B$1:B124,'Final Project Dataset'!D$2:D$251)+IF('Final Project Dataset'!L$2:L$251&lt;&gt;"Premium",1,0),0)),"")</f>
        <v/>
      </c>
      <c r="C125" s="34" t="str">
        <f t="shared" si="1"/>
        <v>✅ Match</v>
      </c>
      <c r="D125" s="34" t="str">
        <v>Douglas Watson</v>
      </c>
    </row>
    <row r="126" spans="1:4">
      <c r="A126" s="34" t="str">
        <f>'Final Project Dataset'!D126</f>
        <v>Carol Evans</v>
      </c>
      <c r="B126" s="34" t="str" cm="1">
        <f t="array" ref="B126">IFERROR(INDEX('Final Project Dataset'!D$2:D$251,MATCH(0,COUNTIF(B$1:B125,'Final Project Dataset'!D$2:D$251)+IF('Final Project Dataset'!L$2:L$251&lt;&gt;"Premium",1,0),0)),"")</f>
        <v/>
      </c>
      <c r="C126" s="34" t="str">
        <f t="shared" si="1"/>
        <v>✅ Match</v>
      </c>
      <c r="D126" s="34" t="str">
        <v>Linda Martin</v>
      </c>
    </row>
    <row r="127" spans="1:4">
      <c r="A127" s="34" t="str">
        <f>'Final Project Dataset'!D127</f>
        <v>Daniel King</v>
      </c>
      <c r="B127" s="34" t="str" cm="1">
        <f t="array" ref="B127">IFERROR(INDEX('Final Project Dataset'!D$2:D$251,MATCH(0,COUNTIF(B$1:B126,'Final Project Dataset'!D$2:D$251)+IF('Final Project Dataset'!L$2:L$251&lt;&gt;"Premium",1,0),0)),"")</f>
        <v/>
      </c>
      <c r="C127" s="34" t="str">
        <f t="shared" si="1"/>
        <v>✅ Match</v>
      </c>
      <c r="D127" s="34" t="str">
        <v>Kevin Scott</v>
      </c>
    </row>
    <row r="128" spans="1:4">
      <c r="A128" s="34" t="str">
        <f>'Final Project Dataset'!D128</f>
        <v>George Adams</v>
      </c>
      <c r="B128" s="34" t="str" cm="1">
        <f t="array" ref="B128">IFERROR(INDEX('Final Project Dataset'!D$2:D$251,MATCH(0,COUNTIF(B$1:B127,'Final Project Dataset'!D$2:D$251)+IF('Final Project Dataset'!L$2:L$251&lt;&gt;"Premium",1,0),0)),"")</f>
        <v/>
      </c>
      <c r="C128" s="34" t="str">
        <f t="shared" si="1"/>
        <v>❌ No Match</v>
      </c>
      <c r="D128" s="34" t="str">
        <v>Charles Allen</v>
      </c>
    </row>
    <row r="129" spans="1:4">
      <c r="A129" s="34" t="str">
        <f>'Final Project Dataset'!D129</f>
        <v>Barbara Young</v>
      </c>
      <c r="B129" s="34" t="str" cm="1">
        <f t="array" ref="B129">IFERROR(INDEX('Final Project Dataset'!D$2:D$251,MATCH(0,COUNTIF(B$1:B128,'Final Project Dataset'!D$2:D$251)+IF('Final Project Dataset'!L$2:L$251&lt;&gt;"Premium",1,0),0)),"")</f>
        <v/>
      </c>
      <c r="C129" s="34" t="str">
        <f t="shared" si="1"/>
        <v>✅ Match</v>
      </c>
      <c r="D129" s="34" t="str">
        <v>Joseph Jackson</v>
      </c>
    </row>
    <row r="130" spans="1:4">
      <c r="A130" s="34" t="str">
        <f>'Final Project Dataset'!D130</f>
        <v>Raymond Ross</v>
      </c>
      <c r="B130" s="34" t="str" cm="1">
        <f t="array" ref="B130">IFERROR(INDEX('Final Project Dataset'!D$2:D$251,MATCH(0,COUNTIF(B$1:B129,'Final Project Dataset'!D$2:D$251)+IF('Final Project Dataset'!L$2:L$251&lt;&gt;"Premium",1,0),0)),"")</f>
        <v/>
      </c>
      <c r="C130" s="34" t="str">
        <f t="shared" si="1"/>
        <v>❌ No Match</v>
      </c>
      <c r="D130" s="34" t="str">
        <v>Mark Carter</v>
      </c>
    </row>
    <row r="131" spans="1:4">
      <c r="A131" s="34" t="str">
        <f>'Final Project Dataset'!D131</f>
        <v>Sharon Butler</v>
      </c>
      <c r="B131" s="34" t="str" cm="1">
        <f t="array" ref="B131">IFERROR(INDEX('Final Project Dataset'!D$2:D$251,MATCH(0,COUNTIF(B$1:B130,'Final Project Dataset'!D$2:D$251)+IF('Final Project Dataset'!L$2:L$251&lt;&gt;"Premium",1,0),0)),"")</f>
        <v/>
      </c>
      <c r="C131" s="34" t="str">
        <f t="shared" ref="C131:C194" si="2">IF(COUNTIF($B$2:$B$41,A131)&gt;0,"✅ Match","❌ No Match")</f>
        <v>❌ No Match</v>
      </c>
      <c r="D131" s="34" t="str">
        <v>William White</v>
      </c>
    </row>
    <row r="132" spans="1:4">
      <c r="A132" s="34" t="str">
        <f>'Final Project Dataset'!D132</f>
        <v>Lawrence Reed</v>
      </c>
      <c r="B132" s="34" t="str" cm="1">
        <f t="array" ref="B132">IFERROR(INDEX('Final Project Dataset'!D$2:D$251,MATCH(0,COUNTIF(B$1:B131,'Final Project Dataset'!D$2:D$251)+IF('Final Project Dataset'!L$2:L$251&lt;&gt;"Premium",1,0),0)),"")</f>
        <v/>
      </c>
      <c r="C132" s="34" t="str">
        <f t="shared" si="2"/>
        <v>✅ Match</v>
      </c>
      <c r="D132" s="34" t="str">
        <v>Dorothy Nelson</v>
      </c>
    </row>
    <row r="133" spans="1:4">
      <c r="A133" s="34" t="str">
        <f>'Final Project Dataset'!D133</f>
        <v>Lawrence Reed</v>
      </c>
      <c r="B133" s="34" t="str" cm="1">
        <f t="array" ref="B133">IFERROR(INDEX('Final Project Dataset'!D$2:D$251,MATCH(0,COUNTIF(B$1:B132,'Final Project Dataset'!D$2:D$251)+IF('Final Project Dataset'!L$2:L$251&lt;&gt;"Premium",1,0),0)),"")</f>
        <v/>
      </c>
      <c r="C133" s="34" t="str">
        <f t="shared" si="2"/>
        <v>✅ Match</v>
      </c>
      <c r="D133" s="34" t="str">
        <v>Nancy Collins</v>
      </c>
    </row>
    <row r="134" spans="1:4">
      <c r="A134" s="34" t="str">
        <f>'Final Project Dataset'!D134</f>
        <v>Kathleen Bennett</v>
      </c>
      <c r="B134" s="34" t="str" cm="1">
        <f t="array" ref="B134">IFERROR(INDEX('Final Project Dataset'!D$2:D$251,MATCH(0,COUNTIF(B$1:B133,'Final Project Dataset'!D$2:D$251)+IF('Final Project Dataset'!L$2:L$251&lt;&gt;"Premium",1,0),0)),"")</f>
        <v/>
      </c>
      <c r="C134" s="34" t="str">
        <f t="shared" si="2"/>
        <v>✅ Match</v>
      </c>
      <c r="D134" s="34" t="str">
        <v>James Johnson</v>
      </c>
    </row>
    <row r="135" spans="1:4">
      <c r="A135" s="34" t="str">
        <f>'Final Project Dataset'!D135</f>
        <v>Sarah Davis</v>
      </c>
      <c r="B135" s="34" t="str" cm="1">
        <f t="array" ref="B135">IFERROR(INDEX('Final Project Dataset'!D$2:D$251,MATCH(0,COUNTIF(B$1:B134,'Final Project Dataset'!D$2:D$251)+IF('Final Project Dataset'!L$2:L$251&lt;&gt;"Premium",1,0),0)),"")</f>
        <v/>
      </c>
      <c r="C135" s="34" t="str">
        <f t="shared" si="2"/>
        <v>❌ No Match</v>
      </c>
      <c r="D135" s="34" t="str">
        <v>Peter Richardson</v>
      </c>
    </row>
    <row r="136" spans="1:4">
      <c r="A136" s="34" t="str">
        <f>'Final Project Dataset'!D136</f>
        <v>Betty Campbell</v>
      </c>
      <c r="B136" s="34" t="str" cm="1">
        <f t="array" ref="B136">IFERROR(INDEX('Final Project Dataset'!D$2:D$251,MATCH(0,COUNTIF(B$1:B135,'Final Project Dataset'!D$2:D$251)+IF('Final Project Dataset'!L$2:L$251&lt;&gt;"Premium",1,0),0)),"")</f>
        <v/>
      </c>
      <c r="C136" s="34" t="str">
        <f t="shared" si="2"/>
        <v>✅ Match</v>
      </c>
      <c r="D136" s="34" t="str">
        <v>David Martinez</v>
      </c>
    </row>
    <row r="137" spans="1:4">
      <c r="A137" s="34" t="str">
        <f>'Final Project Dataset'!D137</f>
        <v>Raymond Ross</v>
      </c>
      <c r="B137" s="34" t="str" cm="1">
        <f t="array" ref="B137">IFERROR(INDEX('Final Project Dataset'!D$2:D$251,MATCH(0,COUNTIF(B$1:B136,'Final Project Dataset'!D$2:D$251)+IF('Final Project Dataset'!L$2:L$251&lt;&gt;"Premium",1,0),0)),"")</f>
        <v/>
      </c>
      <c r="C137" s="34" t="str">
        <f t="shared" si="2"/>
        <v>❌ No Match</v>
      </c>
      <c r="D137" s="34" t="str">
        <v>Steven Turner</v>
      </c>
    </row>
    <row r="138" spans="1:4">
      <c r="A138" s="34" t="str">
        <f>'Final Project Dataset'!D138</f>
        <v>Paul Baker</v>
      </c>
      <c r="B138" s="34" t="str" cm="1">
        <f t="array" ref="B138">IFERROR(INDEX('Final Project Dataset'!D$2:D$251,MATCH(0,COUNTIF(B$1:B137,'Final Project Dataset'!D$2:D$251)+IF('Final Project Dataset'!L$2:L$251&lt;&gt;"Premium",1,0),0)),"")</f>
        <v/>
      </c>
      <c r="C138" s="34" t="str">
        <f t="shared" si="2"/>
        <v>✅ Match</v>
      </c>
      <c r="D138" s="34" t="str">
        <v>Emma Wilson</v>
      </c>
    </row>
    <row r="139" spans="1:4">
      <c r="A139" s="34" t="str">
        <f>'Final Project Dataset'!D139</f>
        <v>Karen Hill</v>
      </c>
      <c r="B139" s="34" t="str" cm="1">
        <f t="array" ref="B139">IFERROR(INDEX('Final Project Dataset'!D$2:D$251,MATCH(0,COUNTIF(B$1:B138,'Final Project Dataset'!D$2:D$251)+IF('Final Project Dataset'!L$2:L$251&lt;&gt;"Premium",1,0),0)),"")</f>
        <v/>
      </c>
      <c r="C139" s="34" t="str">
        <f t="shared" si="2"/>
        <v>✅ Match</v>
      </c>
      <c r="D139" s="34" t="str">
        <v>David Martinez</v>
      </c>
    </row>
    <row r="140" spans="1:4">
      <c r="A140" s="34" t="str">
        <f>'Final Project Dataset'!D140</f>
        <v>Patricia Moore</v>
      </c>
      <c r="B140" s="34" t="str" cm="1">
        <f t="array" ref="B140">IFERROR(INDEX('Final Project Dataset'!D$2:D$251,MATCH(0,COUNTIF(B$1:B139,'Final Project Dataset'!D$2:D$251)+IF('Final Project Dataset'!L$2:L$251&lt;&gt;"Premium",1,0),0)),"")</f>
        <v/>
      </c>
      <c r="C140" s="34" t="str">
        <f t="shared" si="2"/>
        <v>✅ Match</v>
      </c>
      <c r="D140" s="34" t="str">
        <v>Daniel King</v>
      </c>
    </row>
    <row r="141" spans="1:4">
      <c r="A141" s="34" t="str">
        <f>'Final Project Dataset'!D141</f>
        <v>Maria Garcia</v>
      </c>
      <c r="B141" s="34" t="str" cm="1">
        <f t="array" ref="B141">IFERROR(INDEX('Final Project Dataset'!D$2:D$251,MATCH(0,COUNTIF(B$1:B140,'Final Project Dataset'!D$2:D$251)+IF('Final Project Dataset'!L$2:L$251&lt;&gt;"Premium",1,0),0)),"")</f>
        <v/>
      </c>
      <c r="C141" s="34" t="str">
        <f t="shared" si="2"/>
        <v>✅ Match</v>
      </c>
      <c r="D141" s="34" t="str">
        <v>Michael Brown</v>
      </c>
    </row>
    <row r="142" spans="1:4">
      <c r="A142" s="34" t="str">
        <f>'Final Project Dataset'!D142</f>
        <v>Margaret Wright</v>
      </c>
      <c r="B142" s="34" t="str" cm="1">
        <f t="array" ref="B142">IFERROR(INDEX('Final Project Dataset'!D$2:D$251,MATCH(0,COUNTIF(B$1:B141,'Final Project Dataset'!D$2:D$251)+IF('Final Project Dataset'!L$2:L$251&lt;&gt;"Premium",1,0),0)),"")</f>
        <v/>
      </c>
      <c r="C142" s="34" t="str">
        <f t="shared" si="2"/>
        <v>✅ Match</v>
      </c>
      <c r="D142" s="34" t="str">
        <v>Linda Martin</v>
      </c>
    </row>
    <row r="143" spans="1:4">
      <c r="A143" s="34" t="str">
        <f>'Final Project Dataset'!D143</f>
        <v>Peter Richardson</v>
      </c>
      <c r="B143" s="34" t="str" cm="1">
        <f t="array" ref="B143">IFERROR(INDEX('Final Project Dataset'!D$2:D$251,MATCH(0,COUNTIF(B$1:B142,'Final Project Dataset'!D$2:D$251)+IF('Final Project Dataset'!L$2:L$251&lt;&gt;"Premium",1,0),0)),"")</f>
        <v/>
      </c>
      <c r="C143" s="34" t="str">
        <f t="shared" si="2"/>
        <v>✅ Match</v>
      </c>
      <c r="D143" s="34" t="str">
        <v>David Martinez</v>
      </c>
    </row>
    <row r="144" spans="1:4">
      <c r="A144" s="34" t="str">
        <f>'Final Project Dataset'!D144</f>
        <v>Paul Baker</v>
      </c>
      <c r="B144" s="34" t="str" cm="1">
        <f t="array" ref="B144">IFERROR(INDEX('Final Project Dataset'!D$2:D$251,MATCH(0,COUNTIF(B$1:B143,'Final Project Dataset'!D$2:D$251)+IF('Final Project Dataset'!L$2:L$251&lt;&gt;"Premium",1,0),0)),"")</f>
        <v/>
      </c>
      <c r="C144" s="34" t="str">
        <f t="shared" si="2"/>
        <v>✅ Match</v>
      </c>
      <c r="D144" s="34" t="str">
        <v>Kevin Scott</v>
      </c>
    </row>
    <row r="145" spans="1:4">
      <c r="A145" s="34" t="str">
        <f>'Final Project Dataset'!D145</f>
        <v>Patricia Moore</v>
      </c>
      <c r="B145" s="34" t="str" cm="1">
        <f t="array" ref="B145">IFERROR(INDEX('Final Project Dataset'!D$2:D$251,MATCH(0,COUNTIF(B$1:B144,'Final Project Dataset'!D$2:D$251)+IF('Final Project Dataset'!L$2:L$251&lt;&gt;"Premium",1,0),0)),"")</f>
        <v/>
      </c>
      <c r="C145" s="34" t="str">
        <f t="shared" si="2"/>
        <v>✅ Match</v>
      </c>
      <c r="D145" s="34" t="str">
        <v>Michael Brown</v>
      </c>
    </row>
    <row r="146" spans="1:4">
      <c r="A146" s="34" t="str">
        <f>'Final Project Dataset'!D146</f>
        <v>Sarah Davis</v>
      </c>
      <c r="B146" s="34" t="str" cm="1">
        <f t="array" ref="B146">IFERROR(INDEX('Final Project Dataset'!D$2:D$251,MATCH(0,COUNTIF(B$1:B145,'Final Project Dataset'!D$2:D$251)+IF('Final Project Dataset'!L$2:L$251&lt;&gt;"Premium",1,0),0)),"")</f>
        <v/>
      </c>
      <c r="C146" s="34" t="str">
        <f t="shared" si="2"/>
        <v>❌ No Match</v>
      </c>
      <c r="D146" s="34" t="str">
        <v>Robert Thomas</v>
      </c>
    </row>
    <row r="147" spans="1:4">
      <c r="A147" s="34" t="str">
        <f>'Final Project Dataset'!D147</f>
        <v>George Adams</v>
      </c>
      <c r="B147" s="34" t="str" cm="1">
        <f t="array" ref="B147">IFERROR(INDEX('Final Project Dataset'!D$2:D$251,MATCH(0,COUNTIF(B$1:B146,'Final Project Dataset'!D$2:D$251)+IF('Final Project Dataset'!L$2:L$251&lt;&gt;"Premium",1,0),0)),"")</f>
        <v/>
      </c>
      <c r="C147" s="34" t="str">
        <f t="shared" si="2"/>
        <v>❌ No Match</v>
      </c>
      <c r="D147" s="34" t="str">
        <v>Nancy Collins</v>
      </c>
    </row>
    <row r="148" spans="1:4">
      <c r="A148" s="34" t="str">
        <f>'Final Project Dataset'!D148</f>
        <v>Sandra Phillips</v>
      </c>
      <c r="B148" s="34" t="str" cm="1">
        <f t="array" ref="B148">IFERROR(INDEX('Final Project Dataset'!D$2:D$251,MATCH(0,COUNTIF(B$1:B147,'Final Project Dataset'!D$2:D$251)+IF('Final Project Dataset'!L$2:L$251&lt;&gt;"Premium",1,0),0)),"")</f>
        <v/>
      </c>
      <c r="C148" s="34" t="str">
        <f t="shared" si="2"/>
        <v>✅ Match</v>
      </c>
      <c r="D148" s="34" t="str">
        <v>Mark Carter</v>
      </c>
    </row>
    <row r="149" spans="1:4">
      <c r="A149" s="34" t="str">
        <f>'Final Project Dataset'!D149</f>
        <v>Mark Carter</v>
      </c>
      <c r="B149" s="34" t="str" cm="1">
        <f t="array" ref="B149">IFERROR(INDEX('Final Project Dataset'!D$2:D$251,MATCH(0,COUNTIF(B$1:B148,'Final Project Dataset'!D$2:D$251)+IF('Final Project Dataset'!L$2:L$251&lt;&gt;"Premium",1,0),0)),"")</f>
        <v/>
      </c>
      <c r="C149" s="34" t="str">
        <f t="shared" si="2"/>
        <v>✅ Match</v>
      </c>
      <c r="D149" s="34" t="str">
        <v>Daniel King</v>
      </c>
    </row>
    <row r="150" spans="1:4">
      <c r="A150" s="34" t="str">
        <f>'Final Project Dataset'!D150</f>
        <v>Edward Mitchell</v>
      </c>
      <c r="B150" s="34" t="str" cm="1">
        <f t="array" ref="B150">IFERROR(INDEX('Final Project Dataset'!D$2:D$251,MATCH(0,COUNTIF(B$1:B149,'Final Project Dataset'!D$2:D$251)+IF('Final Project Dataset'!L$2:L$251&lt;&gt;"Premium",1,0),0)),"")</f>
        <v/>
      </c>
      <c r="C150" s="34" t="str">
        <f t="shared" si="2"/>
        <v>✅ Match</v>
      </c>
      <c r="D150" s="34" t="str">
        <v>Arthur Edwards</v>
      </c>
    </row>
    <row r="151" spans="1:4">
      <c r="A151" s="34" t="str">
        <f>'Final Project Dataset'!D151</f>
        <v>Frank Torres</v>
      </c>
      <c r="B151" s="34" t="str" cm="1">
        <f t="array" ref="B151">IFERROR(INDEX('Final Project Dataset'!D$2:D$251,MATCH(0,COUNTIF(B$1:B150,'Final Project Dataset'!D$2:D$251)+IF('Final Project Dataset'!L$2:L$251&lt;&gt;"Premium",1,0),0)),"")</f>
        <v/>
      </c>
      <c r="C151" s="34" t="str">
        <f t="shared" si="2"/>
        <v>✅ Match</v>
      </c>
      <c r="D151" s="34" t="str">
        <v>Lisa Anderson</v>
      </c>
    </row>
    <row r="152" spans="1:4">
      <c r="A152" s="34" t="str">
        <f>'Final Project Dataset'!D152</f>
        <v>Sarah Davis</v>
      </c>
      <c r="B152" s="34" t="str" cm="1">
        <f t="array" ref="B152">IFERROR(INDEX('Final Project Dataset'!D$2:D$251,MATCH(0,COUNTIF(B$1:B151,'Final Project Dataset'!D$2:D$251)+IF('Final Project Dataset'!L$2:L$251&lt;&gt;"Premium",1,0),0)),"")</f>
        <v/>
      </c>
      <c r="C152" s="34" t="str">
        <f t="shared" si="2"/>
        <v>❌ No Match</v>
      </c>
      <c r="D152" s="34" t="str">
        <v>Michael Brown</v>
      </c>
    </row>
    <row r="153" spans="1:4">
      <c r="A153" s="34" t="str">
        <f>'Final Project Dataset'!D153</f>
        <v>Douglas Watson</v>
      </c>
      <c r="B153" s="34" t="str" cm="1">
        <f t="array" ref="B153">IFERROR(INDEX('Final Project Dataset'!D$2:D$251,MATCH(0,COUNTIF(B$1:B152,'Final Project Dataset'!D$2:D$251)+IF('Final Project Dataset'!L$2:L$251&lt;&gt;"Premium",1,0),0)),"")</f>
        <v/>
      </c>
      <c r="C153" s="34" t="str">
        <f t="shared" si="2"/>
        <v>✅ Match</v>
      </c>
      <c r="D153" s="34" t="str">
        <v>Karen Hill</v>
      </c>
    </row>
    <row r="154" spans="1:4">
      <c r="A154" s="34" t="str">
        <f>'Final Project Dataset'!D154</f>
        <v>Linda Martin</v>
      </c>
      <c r="B154" s="34" t="str" cm="1">
        <f t="array" ref="B154">IFERROR(INDEX('Final Project Dataset'!D$2:D$251,MATCH(0,COUNTIF(B$1:B153,'Final Project Dataset'!D$2:D$251)+IF('Final Project Dataset'!L$2:L$251&lt;&gt;"Premium",1,0),0)),"")</f>
        <v/>
      </c>
      <c r="C154" s="34" t="str">
        <f t="shared" si="2"/>
        <v>✅ Match</v>
      </c>
      <c r="D154" s="34" t="str">
        <v>Nancy Collins</v>
      </c>
    </row>
    <row r="155" spans="1:4">
      <c r="A155" s="34" t="str">
        <f>'Final Project Dataset'!D155</f>
        <v>Kevin Scott</v>
      </c>
      <c r="B155" s="34" t="str" cm="1">
        <f t="array" ref="B155">IFERROR(INDEX('Final Project Dataset'!D$2:D$251,MATCH(0,COUNTIF(B$1:B154,'Final Project Dataset'!D$2:D$251)+IF('Final Project Dataset'!L$2:L$251&lt;&gt;"Premium",1,0),0)),"")</f>
        <v/>
      </c>
      <c r="C155" s="34" t="str">
        <f t="shared" si="2"/>
        <v>✅ Match</v>
      </c>
      <c r="D155" s="34" t="str">
        <v>Virginia Sanders</v>
      </c>
    </row>
    <row r="156" spans="1:4">
      <c r="A156" s="34" t="str">
        <f>'Final Project Dataset'!D156</f>
        <v>Charles Allen</v>
      </c>
      <c r="B156" s="34" t="str" cm="1">
        <f t="array" ref="B156">IFERROR(INDEX('Final Project Dataset'!D$2:D$251,MATCH(0,COUNTIF(B$1:B155,'Final Project Dataset'!D$2:D$251)+IF('Final Project Dataset'!L$2:L$251&lt;&gt;"Premium",1,0),0)),"")</f>
        <v/>
      </c>
      <c r="C156" s="34" t="str">
        <f t="shared" si="2"/>
        <v>✅ Match</v>
      </c>
      <c r="D156" s="34" t="str">
        <v>Steven Turner</v>
      </c>
    </row>
    <row r="157" spans="1:4">
      <c r="A157" s="34" t="str">
        <f>'Final Project Dataset'!D157</f>
        <v>Joseph Jackson</v>
      </c>
      <c r="B157" s="34" t="str" cm="1">
        <f t="array" ref="B157">IFERROR(INDEX('Final Project Dataset'!D$2:D$251,MATCH(0,COUNTIF(B$1:B156,'Final Project Dataset'!D$2:D$251)+IF('Final Project Dataset'!L$2:L$251&lt;&gt;"Premium",1,0),0)),"")</f>
        <v/>
      </c>
      <c r="C157" s="34" t="str">
        <f t="shared" si="2"/>
        <v>✅ Match</v>
      </c>
      <c r="D157" s="34" t="str">
        <v>Michelle Rogers</v>
      </c>
    </row>
    <row r="158" spans="1:4">
      <c r="A158" s="34" t="str">
        <f>'Final Project Dataset'!D158</f>
        <v>Mark Carter</v>
      </c>
      <c r="B158" s="34" t="str" cm="1">
        <f t="array" ref="B158">IFERROR(INDEX('Final Project Dataset'!D$2:D$251,MATCH(0,COUNTIF(B$1:B157,'Final Project Dataset'!D$2:D$251)+IF('Final Project Dataset'!L$2:L$251&lt;&gt;"Premium",1,0),0)),"")</f>
        <v/>
      </c>
      <c r="C158" s="34" t="str">
        <f t="shared" si="2"/>
        <v>✅ Match</v>
      </c>
      <c r="D158" s="34" t="str">
        <v>Douglas Watson</v>
      </c>
    </row>
    <row r="159" spans="1:4">
      <c r="A159" s="34" t="str">
        <f>'Final Project Dataset'!D159</f>
        <v>William White</v>
      </c>
      <c r="B159" s="34" t="str" cm="1">
        <f t="array" ref="B159">IFERROR(INDEX('Final Project Dataset'!D$2:D$251,MATCH(0,COUNTIF(B$1:B158,'Final Project Dataset'!D$2:D$251)+IF('Final Project Dataset'!L$2:L$251&lt;&gt;"Premium",1,0),0)),"")</f>
        <v/>
      </c>
      <c r="C159" s="34" t="str">
        <f t="shared" si="2"/>
        <v>✅ Match</v>
      </c>
      <c r="D159" s="34" t="str">
        <v>Mark Carter</v>
      </c>
    </row>
    <row r="160" spans="1:4">
      <c r="A160" s="34" t="str">
        <f>'Final Project Dataset'!D160</f>
        <v>Dorothy Nelson</v>
      </c>
      <c r="B160" s="34" t="str" cm="1">
        <f t="array" ref="B160">IFERROR(INDEX('Final Project Dataset'!D$2:D$251,MATCH(0,COUNTIF(B$1:B159,'Final Project Dataset'!D$2:D$251)+IF('Final Project Dataset'!L$2:L$251&lt;&gt;"Premium",1,0),0)),"")</f>
        <v/>
      </c>
      <c r="C160" s="34" t="str">
        <f t="shared" si="2"/>
        <v>✅ Match</v>
      </c>
      <c r="D160" s="34" t="str">
        <v>Betty Campbell</v>
      </c>
    </row>
    <row r="161" spans="1:4">
      <c r="A161" s="34" t="str">
        <f>'Final Project Dataset'!D161</f>
        <v>Nancy Collins</v>
      </c>
      <c r="B161" s="34" t="str" cm="1">
        <f t="array" ref="B161">IFERROR(INDEX('Final Project Dataset'!D$2:D$251,MATCH(0,COUNTIF(B$1:B160,'Final Project Dataset'!D$2:D$251)+IF('Final Project Dataset'!L$2:L$251&lt;&gt;"Premium",1,0),0)),"")</f>
        <v/>
      </c>
      <c r="C161" s="34" t="str">
        <f t="shared" si="2"/>
        <v>✅ Match</v>
      </c>
      <c r="D161" s="34" t="str">
        <v>Sandra Phillips</v>
      </c>
    </row>
    <row r="162" spans="1:4">
      <c r="A162" s="34" t="str">
        <f>'Final Project Dataset'!D162</f>
        <v>James Johnson</v>
      </c>
      <c r="B162" s="34" t="str" cm="1">
        <f t="array" ref="B162">IFERROR(INDEX('Final Project Dataset'!D$2:D$251,MATCH(0,COUNTIF(B$1:B161,'Final Project Dataset'!D$2:D$251)+IF('Final Project Dataset'!L$2:L$251&lt;&gt;"Premium",1,0),0)),"")</f>
        <v/>
      </c>
      <c r="C162" s="34" t="str">
        <f t="shared" si="2"/>
        <v>✅ Match</v>
      </c>
      <c r="D162" s="34" t="str">
        <v>Lawrence Reed</v>
      </c>
    </row>
    <row r="163" spans="1:4">
      <c r="A163" s="34" t="str">
        <f>'Final Project Dataset'!D163</f>
        <v>Jennifer Taylor</v>
      </c>
      <c r="B163" s="34" t="str" cm="1">
        <f t="array" ref="B163">IFERROR(INDEX('Final Project Dataset'!D$2:D$251,MATCH(0,COUNTIF(B$1:B162,'Final Project Dataset'!D$2:D$251)+IF('Final Project Dataset'!L$2:L$251&lt;&gt;"Premium",1,0),0)),"")</f>
        <v/>
      </c>
      <c r="C163" s="34" t="str">
        <f t="shared" si="2"/>
        <v>❌ No Match</v>
      </c>
      <c r="D163" s="34" t="str">
        <v>Elizabeth Hall</v>
      </c>
    </row>
    <row r="164" spans="1:4">
      <c r="A164" s="34" t="str">
        <f>'Final Project Dataset'!D164</f>
        <v>Helen Roberts</v>
      </c>
      <c r="B164" s="34" t="str" cm="1">
        <f t="array" ref="B164">IFERROR(INDEX('Final Project Dataset'!D$2:D$251,MATCH(0,COUNTIF(B$1:B163,'Final Project Dataset'!D$2:D$251)+IF('Final Project Dataset'!L$2:L$251&lt;&gt;"Premium",1,0),0)),"")</f>
        <v/>
      </c>
      <c r="C164" s="34" t="str">
        <f t="shared" si="2"/>
        <v>❌ No Match</v>
      </c>
      <c r="D164" s="34" t="str">
        <v>Robert Thomas</v>
      </c>
    </row>
    <row r="165" spans="1:4">
      <c r="A165" s="34" t="str">
        <f>'Final Project Dataset'!D165</f>
        <v>Peter Richardson</v>
      </c>
      <c r="B165" s="34" t="str" cm="1">
        <f t="array" ref="B165">IFERROR(INDEX('Final Project Dataset'!D$2:D$251,MATCH(0,COUNTIF(B$1:B164,'Final Project Dataset'!D$2:D$251)+IF('Final Project Dataset'!L$2:L$251&lt;&gt;"Premium",1,0),0)),"")</f>
        <v/>
      </c>
      <c r="C165" s="34" t="str">
        <f t="shared" si="2"/>
        <v>✅ Match</v>
      </c>
      <c r="D165" s="34" t="str">
        <v>Lisa Anderson</v>
      </c>
    </row>
    <row r="166" spans="1:4">
      <c r="A166" s="34" t="str">
        <f>'Final Project Dataset'!D166</f>
        <v>David Martinez</v>
      </c>
      <c r="B166" s="34" t="str" cm="1">
        <f t="array" ref="B166">IFERROR(INDEX('Final Project Dataset'!D$2:D$251,MATCH(0,COUNTIF(B$1:B165,'Final Project Dataset'!D$2:D$251)+IF('Final Project Dataset'!L$2:L$251&lt;&gt;"Premium",1,0),0)),"")</f>
        <v/>
      </c>
      <c r="C166" s="34" t="str">
        <f t="shared" si="2"/>
        <v>✅ Match</v>
      </c>
      <c r="D166" s="34" t="str">
        <v>Dorothy Nelson</v>
      </c>
    </row>
    <row r="167" spans="1:4">
      <c r="A167" s="34" t="str">
        <f>'Final Project Dataset'!D167</f>
        <v>Steven Turner</v>
      </c>
      <c r="B167" s="34" t="str" cm="1">
        <f t="array" ref="B167">IFERROR(INDEX('Final Project Dataset'!D$2:D$251,MATCH(0,COUNTIF(B$1:B166,'Final Project Dataset'!D$2:D$251)+IF('Final Project Dataset'!L$2:L$251&lt;&gt;"Premium",1,0),0)),"")</f>
        <v/>
      </c>
      <c r="C167" s="34" t="str">
        <f t="shared" si="2"/>
        <v>✅ Match</v>
      </c>
      <c r="D167" s="34" t="str">
        <v>William White</v>
      </c>
    </row>
    <row r="168" spans="1:4">
      <c r="A168" s="34" t="str">
        <f>'Final Project Dataset'!D168</f>
        <v>Emma Wilson</v>
      </c>
      <c r="B168" s="34" t="str" cm="1">
        <f t="array" ref="B168">IFERROR(INDEX('Final Project Dataset'!D$2:D$251,MATCH(0,COUNTIF(B$1:B167,'Final Project Dataset'!D$2:D$251)+IF('Final Project Dataset'!L$2:L$251&lt;&gt;"Premium",1,0),0)),"")</f>
        <v/>
      </c>
      <c r="C168" s="34" t="str">
        <f t="shared" si="2"/>
        <v>✅ Match</v>
      </c>
      <c r="D168" s="34" t="str">
        <v>Mark Carter</v>
      </c>
    </row>
    <row r="169" spans="1:4">
      <c r="A169" s="34" t="str">
        <f>'Final Project Dataset'!D169</f>
        <v>David Martinez</v>
      </c>
      <c r="B169" s="34" t="str" cm="1">
        <f t="array" ref="B169">IFERROR(INDEX('Final Project Dataset'!D$2:D$251,MATCH(0,COUNTIF(B$1:B168,'Final Project Dataset'!D$2:D$251)+IF('Final Project Dataset'!L$2:L$251&lt;&gt;"Premium",1,0),0)),"")</f>
        <v/>
      </c>
      <c r="C169" s="34" t="str">
        <f t="shared" si="2"/>
        <v>✅ Match</v>
      </c>
      <c r="D169" s="34" t="str">
        <v>Douglas Watson</v>
      </c>
    </row>
    <row r="170" spans="1:4">
      <c r="A170" s="34" t="str">
        <f>'Final Project Dataset'!D170</f>
        <v>Daniel King</v>
      </c>
      <c r="B170" s="34" t="str" cm="1">
        <f t="array" ref="B170">IFERROR(INDEX('Final Project Dataset'!D$2:D$251,MATCH(0,COUNTIF(B$1:B169,'Final Project Dataset'!D$2:D$251)+IF('Final Project Dataset'!L$2:L$251&lt;&gt;"Premium",1,0),0)),"")</f>
        <v/>
      </c>
      <c r="C170" s="34" t="str">
        <f t="shared" si="2"/>
        <v>✅ Match</v>
      </c>
      <c r="D170" s="34" t="str">
        <v>Karen Hill</v>
      </c>
    </row>
    <row r="171" spans="1:4">
      <c r="A171" s="34" t="str">
        <f>'Final Project Dataset'!D171</f>
        <v>Michael Brown</v>
      </c>
      <c r="B171" s="34" t="str" cm="1">
        <f t="array" ref="B171">IFERROR(INDEX('Final Project Dataset'!D$2:D$251,MATCH(0,COUNTIF(B$1:B170,'Final Project Dataset'!D$2:D$251)+IF('Final Project Dataset'!L$2:L$251&lt;&gt;"Premium",1,0),0)),"")</f>
        <v/>
      </c>
      <c r="C171" s="34" t="str">
        <f t="shared" si="2"/>
        <v>✅ Match</v>
      </c>
      <c r="D171" s="34" t="str">
        <v>Edward Mitchell</v>
      </c>
    </row>
    <row r="172" spans="1:4">
      <c r="A172" s="34" t="str">
        <f>'Final Project Dataset'!D172</f>
        <v>Linda Martin</v>
      </c>
      <c r="B172" s="34" t="str" cm="1">
        <f t="array" ref="B172">IFERROR(INDEX('Final Project Dataset'!D$2:D$251,MATCH(0,COUNTIF(B$1:B171,'Final Project Dataset'!D$2:D$251)+IF('Final Project Dataset'!L$2:L$251&lt;&gt;"Premium",1,0),0)),"")</f>
        <v/>
      </c>
      <c r="C172" s="34" t="str">
        <f t="shared" si="2"/>
        <v>✅ Match</v>
      </c>
      <c r="D172" s="34" t="str">
        <v>Michael Brown</v>
      </c>
    </row>
    <row r="173" spans="1:4">
      <c r="A173" s="34" t="str">
        <f>'Final Project Dataset'!D173</f>
        <v>David Martinez</v>
      </c>
      <c r="B173" s="34" t="str" cm="1">
        <f t="array" ref="B173">IFERROR(INDEX('Final Project Dataset'!D$2:D$251,MATCH(0,COUNTIF(B$1:B172,'Final Project Dataset'!D$2:D$251)+IF('Final Project Dataset'!L$2:L$251&lt;&gt;"Premium",1,0),0)),"")</f>
        <v/>
      </c>
      <c r="C173" s="34" t="str">
        <f t="shared" si="2"/>
        <v>✅ Match</v>
      </c>
      <c r="D173" s="34" t="str">
        <v>Arthur Edwards</v>
      </c>
    </row>
    <row r="174" spans="1:4">
      <c r="A174" s="34" t="str">
        <f>'Final Project Dataset'!D174</f>
        <v>Kevin Scott</v>
      </c>
      <c r="B174" s="34" t="str" cm="1">
        <f t="array" ref="B174">IFERROR(INDEX('Final Project Dataset'!D$2:D$251,MATCH(0,COUNTIF(B$1:B173,'Final Project Dataset'!D$2:D$251)+IF('Final Project Dataset'!L$2:L$251&lt;&gt;"Premium",1,0),0)),"")</f>
        <v/>
      </c>
      <c r="C174" s="34" t="str">
        <f t="shared" si="2"/>
        <v>✅ Match</v>
      </c>
      <c r="D174" s="34" t="str">
        <v>Ruth Brooks</v>
      </c>
    </row>
    <row r="175" spans="1:4">
      <c r="A175" s="34" t="str">
        <f>'Final Project Dataset'!D175</f>
        <v>Michael Brown</v>
      </c>
      <c r="B175" s="34" t="str" cm="1">
        <f t="array" ref="B175">IFERROR(INDEX('Final Project Dataset'!D$2:D$251,MATCH(0,COUNTIF(B$1:B174,'Final Project Dataset'!D$2:D$251)+IF('Final Project Dataset'!L$2:L$251&lt;&gt;"Premium",1,0),0)),"")</f>
        <v/>
      </c>
      <c r="C175" s="34" t="str">
        <f t="shared" si="2"/>
        <v>✅ Match</v>
      </c>
      <c r="D175" s="34" t="str">
        <v>Virginia Sanders</v>
      </c>
    </row>
    <row r="176" spans="1:4">
      <c r="A176" s="34" t="str">
        <f>'Final Project Dataset'!D176</f>
        <v>Helen Roberts</v>
      </c>
      <c r="B176" s="34" t="str" cm="1">
        <f t="array" ref="B176">IFERROR(INDEX('Final Project Dataset'!D$2:D$251,MATCH(0,COUNTIF(B$1:B175,'Final Project Dataset'!D$2:D$251)+IF('Final Project Dataset'!L$2:L$251&lt;&gt;"Premium",1,0),0)),"")</f>
        <v/>
      </c>
      <c r="C176" s="34" t="str">
        <f t="shared" si="2"/>
        <v>❌ No Match</v>
      </c>
      <c r="D176" s="34" t="str">
        <v>Nancy Collins</v>
      </c>
    </row>
    <row r="177" spans="1:4">
      <c r="A177" s="34" t="str">
        <f>'Final Project Dataset'!D177</f>
        <v>Robert Thomas</v>
      </c>
      <c r="B177" s="34" t="str" cm="1">
        <f t="array" ref="B177">IFERROR(INDEX('Final Project Dataset'!D$2:D$251,MATCH(0,COUNTIF(B$1:B176,'Final Project Dataset'!D$2:D$251)+IF('Final Project Dataset'!L$2:L$251&lt;&gt;"Premium",1,0),0)),"")</f>
        <v/>
      </c>
      <c r="C177" s="34" t="str">
        <f t="shared" si="2"/>
        <v>✅ Match</v>
      </c>
      <c r="D177" s="34" t="str">
        <v>Kevin Scott</v>
      </c>
    </row>
    <row r="178" spans="1:4">
      <c r="A178" s="34" t="str">
        <f>'Final Project Dataset'!D178</f>
        <v>Nancy Collins</v>
      </c>
      <c r="B178" s="34" t="str" cm="1">
        <f t="array" ref="B178">IFERROR(INDEX('Final Project Dataset'!D$2:D$251,MATCH(0,COUNTIF(B$1:B177,'Final Project Dataset'!D$2:D$251)+IF('Final Project Dataset'!L$2:L$251&lt;&gt;"Premium",1,0),0)),"")</f>
        <v/>
      </c>
      <c r="C178" s="34" t="str">
        <f t="shared" si="2"/>
        <v>✅ Match</v>
      </c>
      <c r="D178" s="34" t="str">
        <v>Paul Baker</v>
      </c>
    </row>
    <row r="179" spans="1:4">
      <c r="A179" s="34" t="str">
        <f>'Final Project Dataset'!D179</f>
        <v>Mark Carter</v>
      </c>
      <c r="B179" s="34" t="str" cm="1">
        <f t="array" ref="B179">IFERROR(INDEX('Final Project Dataset'!D$2:D$251,MATCH(0,COUNTIF(B$1:B178,'Final Project Dataset'!D$2:D$251)+IF('Final Project Dataset'!L$2:L$251&lt;&gt;"Premium",1,0),0)),"")</f>
        <v/>
      </c>
      <c r="C179" s="34" t="str">
        <f t="shared" si="2"/>
        <v>✅ Match</v>
      </c>
      <c r="D179" s="34" t="str">
        <v>Richard Lee</v>
      </c>
    </row>
    <row r="180" spans="1:4">
      <c r="A180" s="34" t="str">
        <f>'Final Project Dataset'!D180</f>
        <v>Daniel King</v>
      </c>
      <c r="B180" s="34" t="str" cm="1">
        <f t="array" ref="B180">IFERROR(INDEX('Final Project Dataset'!D$2:D$251,MATCH(0,COUNTIF(B$1:B179,'Final Project Dataset'!D$2:D$251)+IF('Final Project Dataset'!L$2:L$251&lt;&gt;"Premium",1,0),0)),"")</f>
        <v/>
      </c>
      <c r="C180" s="34" t="str">
        <f t="shared" si="2"/>
        <v>✅ Match</v>
      </c>
      <c r="D180" s="34" t="str">
        <v>Edward Mitchell</v>
      </c>
    </row>
    <row r="181" spans="1:4">
      <c r="A181" s="34" t="str">
        <f>'Final Project Dataset'!D181</f>
        <v>Arthur Edwards</v>
      </c>
      <c r="B181" s="34" t="str" cm="1">
        <f t="array" ref="B181">IFERROR(INDEX('Final Project Dataset'!D$2:D$251,MATCH(0,COUNTIF(B$1:B180,'Final Project Dataset'!D$2:D$251)+IF('Final Project Dataset'!L$2:L$251&lt;&gt;"Premium",1,0),0)),"")</f>
        <v/>
      </c>
      <c r="C181" s="34" t="str">
        <f t="shared" si="2"/>
        <v>✅ Match</v>
      </c>
      <c r="D181" s="34" t="str">
        <v>Michael Brown</v>
      </c>
    </row>
    <row r="182" spans="1:4">
      <c r="A182" s="34" t="str">
        <f>'Final Project Dataset'!D182</f>
        <v>Lisa Anderson</v>
      </c>
      <c r="B182" s="34" t="str" cm="1">
        <f t="array" ref="B182">IFERROR(INDEX('Final Project Dataset'!D$2:D$251,MATCH(0,COUNTIF(B$1:B181,'Final Project Dataset'!D$2:D$251)+IF('Final Project Dataset'!L$2:L$251&lt;&gt;"Premium",1,0),0)),"")</f>
        <v/>
      </c>
      <c r="C182" s="34" t="str">
        <f t="shared" si="2"/>
        <v>✅ Match</v>
      </c>
      <c r="D182" s="34" t="str">
        <v>Barbara Young</v>
      </c>
    </row>
    <row r="183" spans="1:4">
      <c r="A183" s="34" t="str">
        <f>'Final Project Dataset'!D183</f>
        <v>Michael Brown</v>
      </c>
      <c r="B183" s="34" t="str" cm="1">
        <f t="array" ref="B183">IFERROR(INDEX('Final Project Dataset'!D$2:D$251,MATCH(0,COUNTIF(B$1:B182,'Final Project Dataset'!D$2:D$251)+IF('Final Project Dataset'!L$2:L$251&lt;&gt;"Premium",1,0),0)),"")</f>
        <v/>
      </c>
      <c r="C183" s="34" t="str">
        <f t="shared" si="2"/>
        <v>✅ Match</v>
      </c>
      <c r="D183" s="34" t="str">
        <v>Frank Torres</v>
      </c>
    </row>
    <row r="184" spans="1:4">
      <c r="A184" s="34" t="str">
        <f>'Final Project Dataset'!D184</f>
        <v>Karen Hill</v>
      </c>
      <c r="B184" s="34" t="str" cm="1">
        <f t="array" ref="B184">IFERROR(INDEX('Final Project Dataset'!D$2:D$251,MATCH(0,COUNTIF(B$1:B183,'Final Project Dataset'!D$2:D$251)+IF('Final Project Dataset'!L$2:L$251&lt;&gt;"Premium",1,0),0)),"")</f>
        <v/>
      </c>
      <c r="C184" s="34" t="str">
        <f t="shared" si="2"/>
        <v>✅ Match</v>
      </c>
      <c r="D184" s="34" t="str">
        <v>Charles Allen</v>
      </c>
    </row>
    <row r="185" spans="1:4">
      <c r="A185" s="34" t="str">
        <f>'Final Project Dataset'!D185</f>
        <v>Nancy Collins</v>
      </c>
      <c r="B185" s="34" t="str" cm="1">
        <f t="array" ref="B185">IFERROR(INDEX('Final Project Dataset'!D$2:D$251,MATCH(0,COUNTIF(B$1:B184,'Final Project Dataset'!D$2:D$251)+IF('Final Project Dataset'!L$2:L$251&lt;&gt;"Premium",1,0),0)),"")</f>
        <v/>
      </c>
      <c r="C185" s="34" t="str">
        <f t="shared" si="2"/>
        <v>✅ Match</v>
      </c>
      <c r="D185" s="34" t="str">
        <v>Ruth Brooks</v>
      </c>
    </row>
    <row r="186" spans="1:4">
      <c r="A186" s="34" t="str">
        <f>'Final Project Dataset'!D186</f>
        <v>Virginia Sanders</v>
      </c>
      <c r="B186" s="34" t="str" cm="1">
        <f t="array" ref="B186">IFERROR(INDEX('Final Project Dataset'!D$2:D$251,MATCH(0,COUNTIF(B$1:B185,'Final Project Dataset'!D$2:D$251)+IF('Final Project Dataset'!L$2:L$251&lt;&gt;"Premium",1,0),0)),"")</f>
        <v/>
      </c>
      <c r="C186" s="34" t="str">
        <f t="shared" si="2"/>
        <v>✅ Match</v>
      </c>
      <c r="D186" s="34" t="str">
        <v>Arthur Edwards</v>
      </c>
    </row>
    <row r="187" spans="1:4">
      <c r="A187" s="34" t="str">
        <f>'Final Project Dataset'!D187</f>
        <v>Steven Turner</v>
      </c>
      <c r="B187" s="34" t="str" cm="1">
        <f t="array" ref="B187">IFERROR(INDEX('Final Project Dataset'!D$2:D$251,MATCH(0,COUNTIF(B$1:B186,'Final Project Dataset'!D$2:D$251)+IF('Final Project Dataset'!L$2:L$251&lt;&gt;"Premium",1,0),0)),"")</f>
        <v/>
      </c>
      <c r="C187" s="34" t="str">
        <f t="shared" si="2"/>
        <v>✅ Match</v>
      </c>
      <c r="D187" s="34" t="str">
        <v>Elizabeth Hall</v>
      </c>
    </row>
    <row r="188" spans="1:4">
      <c r="A188" s="34" t="str">
        <f>'Final Project Dataset'!D188</f>
        <v>Michelle Rogers</v>
      </c>
      <c r="B188" s="34" t="str" cm="1">
        <f t="array" ref="B188">IFERROR(INDEX('Final Project Dataset'!D$2:D$251,MATCH(0,COUNTIF(B$1:B187,'Final Project Dataset'!D$2:D$251)+IF('Final Project Dataset'!L$2:L$251&lt;&gt;"Premium",1,0),0)),"")</f>
        <v/>
      </c>
      <c r="C188" s="34" t="str">
        <f t="shared" si="2"/>
        <v>✅ Match</v>
      </c>
      <c r="D188" s="34" t="str">
        <v>Steven Turner</v>
      </c>
    </row>
    <row r="189" spans="1:4">
      <c r="A189" s="34" t="str">
        <f>'Final Project Dataset'!D189</f>
        <v>Douglas Watson</v>
      </c>
      <c r="B189" s="34" t="str" cm="1">
        <f t="array" ref="B189">IFERROR(INDEX('Final Project Dataset'!D$2:D$251,MATCH(0,COUNTIF(B$1:B188,'Final Project Dataset'!D$2:D$251)+IF('Final Project Dataset'!L$2:L$251&lt;&gt;"Premium",1,0),0)),"")</f>
        <v/>
      </c>
      <c r="C189" s="34" t="str">
        <f t="shared" si="2"/>
        <v>✅ Match</v>
      </c>
      <c r="D189" s="34" t="str">
        <v>Richard Lee</v>
      </c>
    </row>
    <row r="190" spans="1:4">
      <c r="A190" s="34" t="str">
        <f>'Final Project Dataset'!D190</f>
        <v>Mark Carter</v>
      </c>
      <c r="B190" s="34" t="str" cm="1">
        <f t="array" ref="B190">IFERROR(INDEX('Final Project Dataset'!D$2:D$251,MATCH(0,COUNTIF(B$1:B189,'Final Project Dataset'!D$2:D$251)+IF('Final Project Dataset'!L$2:L$251&lt;&gt;"Premium",1,0),0)),"")</f>
        <v/>
      </c>
      <c r="C190" s="34" t="str">
        <f t="shared" si="2"/>
        <v>✅ Match</v>
      </c>
      <c r="D190" s="34" t="str">
        <v>Virginia Sanders</v>
      </c>
    </row>
    <row r="191" spans="1:4">
      <c r="A191" s="34" t="str">
        <f>'Final Project Dataset'!D191</f>
        <v>Betty Campbell</v>
      </c>
      <c r="B191" s="34" t="str" cm="1">
        <f t="array" ref="B191">IFERROR(INDEX('Final Project Dataset'!D$2:D$251,MATCH(0,COUNTIF(B$1:B190,'Final Project Dataset'!D$2:D$251)+IF('Final Project Dataset'!L$2:L$251&lt;&gt;"Premium",1,0),0)),"")</f>
        <v/>
      </c>
      <c r="C191" s="34" t="str">
        <f t="shared" si="2"/>
        <v>✅ Match</v>
      </c>
      <c r="D191" s="34" t="str">
        <v>Charles Allen</v>
      </c>
    </row>
    <row r="192" spans="1:4">
      <c r="A192" s="34" t="str">
        <f>'Final Project Dataset'!D192</f>
        <v>Helen Roberts</v>
      </c>
      <c r="B192" s="34" t="str" cm="1">
        <f t="array" ref="B192">IFERROR(INDEX('Final Project Dataset'!D$2:D$251,MATCH(0,COUNTIF(B$1:B191,'Final Project Dataset'!D$2:D$251)+IF('Final Project Dataset'!L$2:L$251&lt;&gt;"Premium",1,0),0)),"")</f>
        <v/>
      </c>
      <c r="C192" s="34" t="str">
        <f t="shared" si="2"/>
        <v>❌ No Match</v>
      </c>
      <c r="D192" s="34" t="str">
        <v>Lawrence Reed</v>
      </c>
    </row>
    <row r="193" spans="1:4">
      <c r="A193" s="34" t="str">
        <f>'Final Project Dataset'!D193</f>
        <v>Sandra Phillips</v>
      </c>
      <c r="B193" s="34" t="str" cm="1">
        <f t="array" ref="B193">IFERROR(INDEX('Final Project Dataset'!D$2:D$251,MATCH(0,COUNTIF(B$1:B192,'Final Project Dataset'!D$2:D$251)+IF('Final Project Dataset'!L$2:L$251&lt;&gt;"Premium",1,0),0)),"")</f>
        <v/>
      </c>
      <c r="C193" s="34" t="str">
        <f t="shared" si="2"/>
        <v>✅ Match</v>
      </c>
      <c r="D193" s="34" t="str">
        <v>Dennis Gray</v>
      </c>
    </row>
    <row r="194" spans="1:4">
      <c r="A194" s="34" t="str">
        <f>'Final Project Dataset'!D194</f>
        <v>Lawrence Reed</v>
      </c>
      <c r="B194" s="34" t="str" cm="1">
        <f t="array" ref="B194">IFERROR(INDEX('Final Project Dataset'!D$2:D$251,MATCH(0,COUNTIF(B$1:B193,'Final Project Dataset'!D$2:D$251)+IF('Final Project Dataset'!L$2:L$251&lt;&gt;"Premium",1,0),0)),"")</f>
        <v/>
      </c>
      <c r="C194" s="34" t="str">
        <f t="shared" si="2"/>
        <v>✅ Match</v>
      </c>
      <c r="D194" s="34" t="str">
        <v>Paul Baker</v>
      </c>
    </row>
    <row r="195" spans="1:4">
      <c r="A195" s="34" t="str">
        <f>'Final Project Dataset'!D195</f>
        <v>Elizabeth Hall</v>
      </c>
      <c r="B195" s="34" t="str" cm="1">
        <f t="array" ref="B195">IFERROR(INDEX('Final Project Dataset'!D$2:D$251,MATCH(0,COUNTIF(B$1:B194,'Final Project Dataset'!D$2:D$251)+IF('Final Project Dataset'!L$2:L$251&lt;&gt;"Premium",1,0),0)),"")</f>
        <v/>
      </c>
      <c r="C195" s="34" t="str">
        <f t="shared" ref="C195:C251" si="3">IF(COUNTIF($B$2:$B$41,A195)&gt;0,"✅ Match","❌ No Match")</f>
        <v>✅ Match</v>
      </c>
      <c r="D195" s="34" t="str">
        <v>Lawrence Reed</v>
      </c>
    </row>
    <row r="196" spans="1:4">
      <c r="A196" s="34" t="str">
        <f>'Final Project Dataset'!D196</f>
        <v>Robert Thomas</v>
      </c>
      <c r="B196" s="34" t="str" cm="1">
        <f t="array" ref="B196">IFERROR(INDEX('Final Project Dataset'!D$2:D$251,MATCH(0,COUNTIF(B$1:B195,'Final Project Dataset'!D$2:D$251)+IF('Final Project Dataset'!L$2:L$251&lt;&gt;"Premium",1,0),0)),"")</f>
        <v/>
      </c>
      <c r="C196" s="34" t="str">
        <f t="shared" si="3"/>
        <v>✅ Match</v>
      </c>
      <c r="D196" s="34" t="str">
        <v>Harry Morgan</v>
      </c>
    </row>
    <row r="197" spans="1:4">
      <c r="A197" s="34" t="str">
        <f>'Final Project Dataset'!D197</f>
        <v>Lisa Anderson</v>
      </c>
      <c r="B197" s="34" t="str" cm="1">
        <f t="array" ref="B197">IFERROR(INDEX('Final Project Dataset'!D$2:D$251,MATCH(0,COUNTIF(B$1:B196,'Final Project Dataset'!D$2:D$251)+IF('Final Project Dataset'!L$2:L$251&lt;&gt;"Premium",1,0),0)),"")</f>
        <v/>
      </c>
      <c r="C197" s="34" t="str">
        <f t="shared" si="3"/>
        <v>✅ Match</v>
      </c>
      <c r="D197" s="34" t="str">
        <v>Charles Allen</v>
      </c>
    </row>
    <row r="198" spans="1:4">
      <c r="A198" s="34" t="str">
        <f>'Final Project Dataset'!D198</f>
        <v>Susan Green</v>
      </c>
      <c r="B198" s="34" t="str" cm="1">
        <f t="array" ref="B198">IFERROR(INDEX('Final Project Dataset'!D$2:D$251,MATCH(0,COUNTIF(B$1:B197,'Final Project Dataset'!D$2:D$251)+IF('Final Project Dataset'!L$2:L$251&lt;&gt;"Premium",1,0),0)),"")</f>
        <v/>
      </c>
      <c r="C198" s="34" t="str">
        <f t="shared" si="3"/>
        <v>❌ No Match</v>
      </c>
      <c r="D198" s="34" t="str">
        <v>Harry Morgan</v>
      </c>
    </row>
    <row r="199" spans="1:4">
      <c r="A199" s="34" t="str">
        <f>'Final Project Dataset'!D199</f>
        <v>Dorothy Nelson</v>
      </c>
      <c r="B199" s="34" t="str" cm="1">
        <f t="array" ref="B199">IFERROR(INDEX('Final Project Dataset'!D$2:D$251,MATCH(0,COUNTIF(B$1:B198,'Final Project Dataset'!D$2:D$251)+IF('Final Project Dataset'!L$2:L$251&lt;&gt;"Premium",1,0),0)),"")</f>
        <v/>
      </c>
      <c r="C199" s="34" t="str">
        <f t="shared" si="3"/>
        <v>✅ Match</v>
      </c>
      <c r="D199" s="34" t="str">
        <v>Frank Torres</v>
      </c>
    </row>
    <row r="200" spans="1:4">
      <c r="A200" s="34" t="str">
        <f>'Final Project Dataset'!D200</f>
        <v>William White</v>
      </c>
      <c r="B200" s="34" t="str" cm="1">
        <f t="array" ref="B200">IFERROR(INDEX('Final Project Dataset'!D$2:D$251,MATCH(0,COUNTIF(B$1:B199,'Final Project Dataset'!D$2:D$251)+IF('Final Project Dataset'!L$2:L$251&lt;&gt;"Premium",1,0),0)),"")</f>
        <v/>
      </c>
      <c r="C200" s="34" t="str">
        <f t="shared" si="3"/>
        <v>✅ Match</v>
      </c>
      <c r="D200" s="34" t="str">
        <v>Emma Wilson</v>
      </c>
    </row>
    <row r="201" spans="1:4">
      <c r="A201" s="34" t="str">
        <f>'Final Project Dataset'!D201</f>
        <v>Mark Carter</v>
      </c>
      <c r="B201" s="34" t="str" cm="1">
        <f t="array" ref="B201">IFERROR(INDEX('Final Project Dataset'!D$2:D$251,MATCH(0,COUNTIF(B$1:B200,'Final Project Dataset'!D$2:D$251)+IF('Final Project Dataset'!L$2:L$251&lt;&gt;"Premium",1,0),0)),"")</f>
        <v/>
      </c>
      <c r="C201" s="34" t="str">
        <f t="shared" si="3"/>
        <v>✅ Match</v>
      </c>
      <c r="D201" s="34" t="str">
        <v>Dorothy Nelson</v>
      </c>
    </row>
    <row r="202" spans="1:4">
      <c r="A202" s="34" t="str">
        <f>'Final Project Dataset'!D202</f>
        <v>Douglas Watson</v>
      </c>
      <c r="B202" s="34" t="str" cm="1">
        <f t="array" ref="B202">IFERROR(INDEX('Final Project Dataset'!D$2:D$251,MATCH(0,COUNTIF(B$1:B201,'Final Project Dataset'!D$2:D$251)+IF('Final Project Dataset'!L$2:L$251&lt;&gt;"Premium",1,0),0)),"")</f>
        <v/>
      </c>
      <c r="C202" s="34" t="str">
        <f t="shared" si="3"/>
        <v>✅ Match</v>
      </c>
      <c r="D202" s="34" t="str">
        <v>Paul Baker</v>
      </c>
    </row>
    <row r="203" spans="1:4">
      <c r="A203" s="34" t="str">
        <f>'Final Project Dataset'!D203</f>
        <v>Karen Hill</v>
      </c>
      <c r="B203" s="34" t="str" cm="1">
        <f t="array" ref="B203">IFERROR(INDEX('Final Project Dataset'!D$2:D$251,MATCH(0,COUNTIF(B$1:B202,'Final Project Dataset'!D$2:D$251)+IF('Final Project Dataset'!L$2:L$251&lt;&gt;"Premium",1,0),0)),"")</f>
        <v/>
      </c>
      <c r="C203" s="34" t="str">
        <f t="shared" si="3"/>
        <v>✅ Match</v>
      </c>
      <c r="D203" s="34" t="str">
        <v>Margaret Wright</v>
      </c>
    </row>
    <row r="204" spans="1:4">
      <c r="A204" s="34" t="str">
        <f>'Final Project Dataset'!D204</f>
        <v>Edward Mitchell</v>
      </c>
      <c r="B204" s="34" t="str" cm="1">
        <f t="array" ref="B204">IFERROR(INDEX('Final Project Dataset'!D$2:D$251,MATCH(0,COUNTIF(B$1:B203,'Final Project Dataset'!D$2:D$251)+IF('Final Project Dataset'!L$2:L$251&lt;&gt;"Premium",1,0),0)),"")</f>
        <v/>
      </c>
      <c r="C204" s="34" t="str">
        <f t="shared" si="3"/>
        <v>✅ Match</v>
      </c>
      <c r="D204" s="34" t="str">
        <v>Virginia Sanders</v>
      </c>
    </row>
    <row r="205" spans="1:4">
      <c r="A205" s="34" t="str">
        <f>'Final Project Dataset'!D205</f>
        <v>Michael Brown</v>
      </c>
      <c r="B205" s="34" t="str" cm="1">
        <f t="array" ref="B205">IFERROR(INDEX('Final Project Dataset'!D$2:D$251,MATCH(0,COUNTIF(B$1:B204,'Final Project Dataset'!D$2:D$251)+IF('Final Project Dataset'!L$2:L$251&lt;&gt;"Premium",1,0),0)),"")</f>
        <v/>
      </c>
      <c r="C205" s="34" t="str">
        <f t="shared" si="3"/>
        <v>✅ Match</v>
      </c>
      <c r="D205" s="34" t="str">
        <v>Karen Hill</v>
      </c>
    </row>
    <row r="206" spans="1:4">
      <c r="A206" s="34" t="str">
        <f>'Final Project Dataset'!D206</f>
        <v>Arthur Edwards</v>
      </c>
      <c r="B206" s="34" t="str" cm="1">
        <f t="array" ref="B206">IFERROR(INDEX('Final Project Dataset'!D$2:D$251,MATCH(0,COUNTIF(B$1:B205,'Final Project Dataset'!D$2:D$251)+IF('Final Project Dataset'!L$2:L$251&lt;&gt;"Premium",1,0),0)),"")</f>
        <v/>
      </c>
      <c r="C206" s="34" t="str">
        <f t="shared" si="3"/>
        <v>✅ Match</v>
      </c>
      <c r="D206" s="34" t="str">
        <v>Edward Mitchell</v>
      </c>
    </row>
    <row r="207" spans="1:4">
      <c r="A207" s="34" t="str">
        <f>'Final Project Dataset'!D207</f>
        <v>Ruth Brooks</v>
      </c>
      <c r="B207" s="34" t="str" cm="1">
        <f t="array" ref="B207">IFERROR(INDEX('Final Project Dataset'!D$2:D$251,MATCH(0,COUNTIF(B$1:B206,'Final Project Dataset'!D$2:D$251)+IF('Final Project Dataset'!L$2:L$251&lt;&gt;"Premium",1,0),0)),"")</f>
        <v/>
      </c>
      <c r="C207" s="34" t="str">
        <f t="shared" si="3"/>
        <v>✅ Match</v>
      </c>
      <c r="D207" s="34" t="str">
        <v>Virginia Sanders</v>
      </c>
    </row>
    <row r="208" spans="1:4">
      <c r="A208" s="34" t="str">
        <f>'Final Project Dataset'!D208</f>
        <v>Virginia Sanders</v>
      </c>
      <c r="B208" s="34" t="str" cm="1">
        <f t="array" ref="B208">IFERROR(INDEX('Final Project Dataset'!D$2:D$251,MATCH(0,COUNTIF(B$1:B207,'Final Project Dataset'!D$2:D$251)+IF('Final Project Dataset'!L$2:L$251&lt;&gt;"Premium",1,0),0)),"")</f>
        <v/>
      </c>
      <c r="C208" s="34" t="str">
        <f t="shared" si="3"/>
        <v>✅ Match</v>
      </c>
      <c r="D208" s="34" t="str">
        <v>Robert Thomas</v>
      </c>
    </row>
    <row r="209" spans="1:4">
      <c r="A209" s="34" t="str">
        <f>'Final Project Dataset'!D209</f>
        <v>Sharon Butler</v>
      </c>
      <c r="B209" s="34" t="str" cm="1">
        <f t="array" ref="B209">IFERROR(INDEX('Final Project Dataset'!D$2:D$251,MATCH(0,COUNTIF(B$1:B208,'Final Project Dataset'!D$2:D$251)+IF('Final Project Dataset'!L$2:L$251&lt;&gt;"Premium",1,0),0)),"")</f>
        <v/>
      </c>
      <c r="C209" s="34" t="str">
        <f t="shared" si="3"/>
        <v>❌ No Match</v>
      </c>
      <c r="D209" s="34" t="str">
        <v>Douglas Watson</v>
      </c>
    </row>
    <row r="210" spans="1:4">
      <c r="A210" s="34" t="str">
        <f>'Final Project Dataset'!D210</f>
        <v>Nancy Collins</v>
      </c>
      <c r="B210" s="34" t="str" cm="1">
        <f t="array" ref="B210">IFERROR(INDEX('Final Project Dataset'!D$2:D$251,MATCH(0,COUNTIF(B$1:B209,'Final Project Dataset'!D$2:D$251)+IF('Final Project Dataset'!L$2:L$251&lt;&gt;"Premium",1,0),0)),"")</f>
        <v/>
      </c>
      <c r="C210" s="34" t="str">
        <f t="shared" si="3"/>
        <v>✅ Match</v>
      </c>
      <c r="D210" s="34" t="str">
        <v>Lawrence Reed</v>
      </c>
    </row>
    <row r="211" spans="1:4">
      <c r="A211" s="34" t="str">
        <f>'Final Project Dataset'!D211</f>
        <v>Kevin Scott</v>
      </c>
      <c r="B211" s="34" t="str" cm="1">
        <f t="array" ref="B211">IFERROR(INDEX('Final Project Dataset'!D$2:D$251,MATCH(0,COUNTIF(B$1:B210,'Final Project Dataset'!D$2:D$251)+IF('Final Project Dataset'!L$2:L$251&lt;&gt;"Premium",1,0),0)),"")</f>
        <v/>
      </c>
      <c r="C211" s="34" t="str">
        <f t="shared" si="3"/>
        <v>✅ Match</v>
      </c>
      <c r="D211" s="34" t="str">
        <v>Steven Turner</v>
      </c>
    </row>
    <row r="212" spans="1:4">
      <c r="A212" s="34" t="str">
        <f>'Final Project Dataset'!D212</f>
        <v>Paul Baker</v>
      </c>
      <c r="B212" s="34" t="str" cm="1">
        <f t="array" ref="B212">IFERROR(INDEX('Final Project Dataset'!D$2:D$251,MATCH(0,COUNTIF(B$1:B211,'Final Project Dataset'!D$2:D$251)+IF('Final Project Dataset'!L$2:L$251&lt;&gt;"Premium",1,0),0)),"")</f>
        <v/>
      </c>
      <c r="C212" s="34" t="str">
        <f t="shared" si="3"/>
        <v>✅ Match</v>
      </c>
      <c r="D212" s="34"/>
    </row>
    <row r="213" spans="1:4">
      <c r="A213" s="34" t="str">
        <f>'Final Project Dataset'!D213</f>
        <v>Richard Lee</v>
      </c>
      <c r="B213" s="34" t="str" cm="1">
        <f t="array" ref="B213">IFERROR(INDEX('Final Project Dataset'!D$2:D$251,MATCH(0,COUNTIF(B$1:B212,'Final Project Dataset'!D$2:D$251)+IF('Final Project Dataset'!L$2:L$251&lt;&gt;"Premium",1,0),0)),"")</f>
        <v/>
      </c>
      <c r="C213" s="34" t="str">
        <f t="shared" si="3"/>
        <v>✅ Match</v>
      </c>
      <c r="D213" s="34"/>
    </row>
    <row r="214" spans="1:4">
      <c r="A214" s="34" t="str">
        <f>'Final Project Dataset'!D214</f>
        <v>Edward Mitchell</v>
      </c>
      <c r="B214" s="34" t="str" cm="1">
        <f t="array" ref="B214">IFERROR(INDEX('Final Project Dataset'!D$2:D$251,MATCH(0,COUNTIF(B$1:B213,'Final Project Dataset'!D$2:D$251)+IF('Final Project Dataset'!L$2:L$251&lt;&gt;"Premium",1,0),0)),"")</f>
        <v/>
      </c>
      <c r="C214" s="34" t="str">
        <f t="shared" si="3"/>
        <v>✅ Match</v>
      </c>
      <c r="D214" s="34"/>
    </row>
    <row r="215" spans="1:4">
      <c r="A215" s="34" t="str">
        <f>'Final Project Dataset'!D215</f>
        <v>Michael Brown</v>
      </c>
      <c r="B215" s="34" t="str" cm="1">
        <f t="array" ref="B215">IFERROR(INDEX('Final Project Dataset'!D$2:D$251,MATCH(0,COUNTIF(B$1:B214,'Final Project Dataset'!D$2:D$251)+IF('Final Project Dataset'!L$2:L$251&lt;&gt;"Premium",1,0),0)),"")</f>
        <v/>
      </c>
      <c r="C215" s="34" t="str">
        <f t="shared" si="3"/>
        <v>✅ Match</v>
      </c>
      <c r="D215" s="34"/>
    </row>
    <row r="216" spans="1:4">
      <c r="A216" s="34" t="str">
        <f>'Final Project Dataset'!D216</f>
        <v>Barbara Young</v>
      </c>
      <c r="B216" s="34" t="str" cm="1">
        <f t="array" ref="B216">IFERROR(INDEX('Final Project Dataset'!D$2:D$251,MATCH(0,COUNTIF(B$1:B215,'Final Project Dataset'!D$2:D$251)+IF('Final Project Dataset'!L$2:L$251&lt;&gt;"Premium",1,0),0)),"")</f>
        <v/>
      </c>
      <c r="C216" s="34" t="str">
        <f t="shared" si="3"/>
        <v>✅ Match</v>
      </c>
      <c r="D216" s="34"/>
    </row>
    <row r="217" spans="1:4">
      <c r="A217" s="34" t="str">
        <f>'Final Project Dataset'!D217</f>
        <v>Frank Torres</v>
      </c>
      <c r="B217" s="34" t="str" cm="1">
        <f t="array" ref="B217">IFERROR(INDEX('Final Project Dataset'!D$2:D$251,MATCH(0,COUNTIF(B$1:B216,'Final Project Dataset'!D$2:D$251)+IF('Final Project Dataset'!L$2:L$251&lt;&gt;"Premium",1,0),0)),"")</f>
        <v/>
      </c>
      <c r="C217" s="34" t="str">
        <f t="shared" si="3"/>
        <v>✅ Match</v>
      </c>
      <c r="D217" s="34"/>
    </row>
    <row r="218" spans="1:4">
      <c r="A218" s="34" t="str">
        <f>'Final Project Dataset'!D218</f>
        <v>Charles Allen</v>
      </c>
      <c r="B218" s="34" t="str" cm="1">
        <f t="array" ref="B218">IFERROR(INDEX('Final Project Dataset'!D$2:D$251,MATCH(0,COUNTIF(B$1:B217,'Final Project Dataset'!D$2:D$251)+IF('Final Project Dataset'!L$2:L$251&lt;&gt;"Premium",1,0),0)),"")</f>
        <v/>
      </c>
      <c r="C218" s="34" t="str">
        <f t="shared" si="3"/>
        <v>✅ Match</v>
      </c>
      <c r="D218" s="34"/>
    </row>
    <row r="219" spans="1:4">
      <c r="A219" s="34" t="str">
        <f>'Final Project Dataset'!D219</f>
        <v>Sharon Butler</v>
      </c>
      <c r="B219" s="34" t="str" cm="1">
        <f t="array" ref="B219">IFERROR(INDEX('Final Project Dataset'!D$2:D$251,MATCH(0,COUNTIF(B$1:B218,'Final Project Dataset'!D$2:D$251)+IF('Final Project Dataset'!L$2:L$251&lt;&gt;"Premium",1,0),0)),"")</f>
        <v/>
      </c>
      <c r="C219" s="34" t="str">
        <f t="shared" si="3"/>
        <v>❌ No Match</v>
      </c>
      <c r="D219" s="34"/>
    </row>
    <row r="220" spans="1:4">
      <c r="A220" s="34" t="str">
        <f>'Final Project Dataset'!D220</f>
        <v>Ruth Brooks</v>
      </c>
      <c r="B220" s="34" t="str" cm="1">
        <f t="array" ref="B220">IFERROR(INDEX('Final Project Dataset'!D$2:D$251,MATCH(0,COUNTIF(B$1:B219,'Final Project Dataset'!D$2:D$251)+IF('Final Project Dataset'!L$2:L$251&lt;&gt;"Premium",1,0),0)),"")</f>
        <v/>
      </c>
      <c r="C220" s="34" t="str">
        <f t="shared" si="3"/>
        <v>✅ Match</v>
      </c>
      <c r="D220" s="34"/>
    </row>
    <row r="221" spans="1:4">
      <c r="A221" s="34" t="str">
        <f>'Final Project Dataset'!D221</f>
        <v>Arthur Edwards</v>
      </c>
      <c r="B221" s="34" t="str" cm="1">
        <f t="array" ref="B221">IFERROR(INDEX('Final Project Dataset'!D$2:D$251,MATCH(0,COUNTIF(B$1:B220,'Final Project Dataset'!D$2:D$251)+IF('Final Project Dataset'!L$2:L$251&lt;&gt;"Premium",1,0),0)),"")</f>
        <v/>
      </c>
      <c r="C221" s="34" t="str">
        <f t="shared" si="3"/>
        <v>✅ Match</v>
      </c>
      <c r="D221" s="34"/>
    </row>
    <row r="222" spans="1:4">
      <c r="A222" s="34" t="str">
        <f>'Final Project Dataset'!D222</f>
        <v>Elizabeth Hall</v>
      </c>
      <c r="B222" s="34" t="str" cm="1">
        <f t="array" ref="B222">IFERROR(INDEX('Final Project Dataset'!D$2:D$251,MATCH(0,COUNTIF(B$1:B221,'Final Project Dataset'!D$2:D$251)+IF('Final Project Dataset'!L$2:L$251&lt;&gt;"Premium",1,0),0)),"")</f>
        <v/>
      </c>
      <c r="C222" s="34" t="str">
        <f t="shared" si="3"/>
        <v>✅ Match</v>
      </c>
      <c r="D222" s="34"/>
    </row>
    <row r="223" spans="1:4">
      <c r="A223" s="34" t="str">
        <f>'Final Project Dataset'!D223</f>
        <v>Steven Turner</v>
      </c>
      <c r="B223" s="34" t="str" cm="1">
        <f t="array" ref="B223">IFERROR(INDEX('Final Project Dataset'!D$2:D$251,MATCH(0,COUNTIF(B$1:B222,'Final Project Dataset'!D$2:D$251)+IF('Final Project Dataset'!L$2:L$251&lt;&gt;"Premium",1,0),0)),"")</f>
        <v/>
      </c>
      <c r="C223" s="34" t="str">
        <f t="shared" si="3"/>
        <v>✅ Match</v>
      </c>
      <c r="D223" s="34"/>
    </row>
    <row r="224" spans="1:4">
      <c r="A224" s="34" t="str">
        <f>'Final Project Dataset'!D224</f>
        <v>Richard Lee</v>
      </c>
      <c r="B224" s="34" t="str" cm="1">
        <f t="array" ref="B224">IFERROR(INDEX('Final Project Dataset'!D$2:D$251,MATCH(0,COUNTIF(B$1:B223,'Final Project Dataset'!D$2:D$251)+IF('Final Project Dataset'!L$2:L$251&lt;&gt;"Premium",1,0),0)),"")</f>
        <v/>
      </c>
      <c r="C224" s="34" t="str">
        <f t="shared" si="3"/>
        <v>✅ Match</v>
      </c>
      <c r="D224" s="34"/>
    </row>
    <row r="225" spans="1:4">
      <c r="A225" s="34" t="str">
        <f>'Final Project Dataset'!D225</f>
        <v>Virginia Sanders</v>
      </c>
      <c r="B225" s="34" t="str" cm="1">
        <f t="array" ref="B225">IFERROR(INDEX('Final Project Dataset'!D$2:D$251,MATCH(0,COUNTIF(B$1:B224,'Final Project Dataset'!D$2:D$251)+IF('Final Project Dataset'!L$2:L$251&lt;&gt;"Premium",1,0),0)),"")</f>
        <v/>
      </c>
      <c r="C225" s="34" t="str">
        <f t="shared" si="3"/>
        <v>✅ Match</v>
      </c>
      <c r="D225" s="34"/>
    </row>
    <row r="226" spans="1:4">
      <c r="A226" s="34" t="str">
        <f>'Final Project Dataset'!D226</f>
        <v>Charles Allen</v>
      </c>
      <c r="B226" s="34" t="str" cm="1">
        <f t="array" ref="B226">IFERROR(INDEX('Final Project Dataset'!D$2:D$251,MATCH(0,COUNTIF(B$1:B225,'Final Project Dataset'!D$2:D$251)+IF('Final Project Dataset'!L$2:L$251&lt;&gt;"Premium",1,0),0)),"")</f>
        <v/>
      </c>
      <c r="C226" s="34" t="str">
        <f t="shared" si="3"/>
        <v>✅ Match</v>
      </c>
      <c r="D226" s="34"/>
    </row>
    <row r="227" spans="1:4">
      <c r="A227" s="34" t="str">
        <f>'Final Project Dataset'!D227</f>
        <v>Lawrence Reed</v>
      </c>
      <c r="B227" s="34" t="str" cm="1">
        <f t="array" ref="B227">IFERROR(INDEX('Final Project Dataset'!D$2:D$251,MATCH(0,COUNTIF(B$1:B226,'Final Project Dataset'!D$2:D$251)+IF('Final Project Dataset'!L$2:L$251&lt;&gt;"Premium",1,0),0)),"")</f>
        <v/>
      </c>
      <c r="C227" s="34" t="str">
        <f t="shared" si="3"/>
        <v>✅ Match</v>
      </c>
      <c r="D227" s="34"/>
    </row>
    <row r="228" spans="1:4">
      <c r="A228" s="34" t="str">
        <f>'Final Project Dataset'!D228</f>
        <v>Dennis Gray</v>
      </c>
      <c r="B228" s="34" t="str" cm="1">
        <f t="array" ref="B228">IFERROR(INDEX('Final Project Dataset'!D$2:D$251,MATCH(0,COUNTIF(B$1:B227,'Final Project Dataset'!D$2:D$251)+IF('Final Project Dataset'!L$2:L$251&lt;&gt;"Premium",1,0),0)),"")</f>
        <v/>
      </c>
      <c r="C228" s="34" t="str">
        <f t="shared" si="3"/>
        <v>✅ Match</v>
      </c>
      <c r="D228" s="34"/>
    </row>
    <row r="229" spans="1:4">
      <c r="A229" s="34" t="str">
        <f>'Final Project Dataset'!D229</f>
        <v>Paul Baker</v>
      </c>
      <c r="B229" s="34" t="str" cm="1">
        <f t="array" ref="B229">IFERROR(INDEX('Final Project Dataset'!D$2:D$251,MATCH(0,COUNTIF(B$1:B228,'Final Project Dataset'!D$2:D$251)+IF('Final Project Dataset'!L$2:L$251&lt;&gt;"Premium",1,0),0)),"")</f>
        <v/>
      </c>
      <c r="C229" s="34" t="str">
        <f t="shared" si="3"/>
        <v>✅ Match</v>
      </c>
      <c r="D229" s="34"/>
    </row>
    <row r="230" spans="1:4">
      <c r="A230" s="34" t="str">
        <f>'Final Project Dataset'!D230</f>
        <v>Helen Roberts</v>
      </c>
      <c r="B230" s="34" t="str" cm="1">
        <f t="array" ref="B230">IFERROR(INDEX('Final Project Dataset'!D$2:D$251,MATCH(0,COUNTIF(B$1:B229,'Final Project Dataset'!D$2:D$251)+IF('Final Project Dataset'!L$2:L$251&lt;&gt;"Premium",1,0),0)),"")</f>
        <v/>
      </c>
      <c r="C230" s="34" t="str">
        <f t="shared" si="3"/>
        <v>❌ No Match</v>
      </c>
      <c r="D230" s="34"/>
    </row>
    <row r="231" spans="1:4">
      <c r="A231" s="34" t="str">
        <f>'Final Project Dataset'!D231</f>
        <v>Lawrence Reed</v>
      </c>
      <c r="B231" s="34" t="str" cm="1">
        <f t="array" ref="B231">IFERROR(INDEX('Final Project Dataset'!D$2:D$251,MATCH(0,COUNTIF(B$1:B230,'Final Project Dataset'!D$2:D$251)+IF('Final Project Dataset'!L$2:L$251&lt;&gt;"Premium",1,0),0)),"")</f>
        <v/>
      </c>
      <c r="C231" s="34" t="str">
        <f t="shared" si="3"/>
        <v>✅ Match</v>
      </c>
      <c r="D231" s="34"/>
    </row>
    <row r="232" spans="1:4">
      <c r="A232" s="34" t="str">
        <f>'Final Project Dataset'!D232</f>
        <v>Harry Morgan</v>
      </c>
      <c r="B232" s="34" t="str" cm="1">
        <f t="array" ref="B232">IFERROR(INDEX('Final Project Dataset'!D$2:D$251,MATCH(0,COUNTIF(B$1:B231,'Final Project Dataset'!D$2:D$251)+IF('Final Project Dataset'!L$2:L$251&lt;&gt;"Premium",1,0),0)),"")</f>
        <v/>
      </c>
      <c r="C232" s="34" t="str">
        <f t="shared" si="3"/>
        <v>✅ Match</v>
      </c>
      <c r="D232" s="34"/>
    </row>
    <row r="233" spans="1:4">
      <c r="A233" s="34" t="str">
        <f>'Final Project Dataset'!D233</f>
        <v>Charles Allen</v>
      </c>
      <c r="B233" s="34" t="str" cm="1">
        <f t="array" ref="B233">IFERROR(INDEX('Final Project Dataset'!D$2:D$251,MATCH(0,COUNTIF(B$1:B232,'Final Project Dataset'!D$2:D$251)+IF('Final Project Dataset'!L$2:L$251&lt;&gt;"Premium",1,0),0)),"")</f>
        <v/>
      </c>
      <c r="C233" s="34" t="str">
        <f t="shared" si="3"/>
        <v>✅ Match</v>
      </c>
      <c r="D233" s="34"/>
    </row>
    <row r="234" spans="1:4">
      <c r="A234" s="34" t="str">
        <f>'Final Project Dataset'!D234</f>
        <v>Harry Morgan</v>
      </c>
      <c r="B234" s="34" t="str" cm="1">
        <f t="array" ref="B234">IFERROR(INDEX('Final Project Dataset'!D$2:D$251,MATCH(0,COUNTIF(B$1:B233,'Final Project Dataset'!D$2:D$251)+IF('Final Project Dataset'!L$2:L$251&lt;&gt;"Premium",1,0),0)),"")</f>
        <v/>
      </c>
      <c r="C234" s="34" t="str">
        <f t="shared" si="3"/>
        <v>✅ Match</v>
      </c>
      <c r="D234" s="34"/>
    </row>
    <row r="235" spans="1:4">
      <c r="A235" s="34" t="str">
        <f>'Final Project Dataset'!D235</f>
        <v>Frank Torres</v>
      </c>
      <c r="B235" s="34" t="str" cm="1">
        <f t="array" ref="B235">IFERROR(INDEX('Final Project Dataset'!D$2:D$251,MATCH(0,COUNTIF(B$1:B234,'Final Project Dataset'!D$2:D$251)+IF('Final Project Dataset'!L$2:L$251&lt;&gt;"Premium",1,0),0)),"")</f>
        <v/>
      </c>
      <c r="C235" s="34" t="str">
        <f t="shared" si="3"/>
        <v>✅ Match</v>
      </c>
      <c r="D235" s="34"/>
    </row>
    <row r="236" spans="1:4">
      <c r="A236" s="34" t="str">
        <f>'Final Project Dataset'!D236</f>
        <v>Emma Wilson</v>
      </c>
      <c r="B236" s="34" t="str" cm="1">
        <f t="array" ref="B236">IFERROR(INDEX('Final Project Dataset'!D$2:D$251,MATCH(0,COUNTIF(B$1:B235,'Final Project Dataset'!D$2:D$251)+IF('Final Project Dataset'!L$2:L$251&lt;&gt;"Premium",1,0),0)),"")</f>
        <v/>
      </c>
      <c r="C236" s="34" t="str">
        <f t="shared" si="3"/>
        <v>✅ Match</v>
      </c>
      <c r="D236" s="34"/>
    </row>
    <row r="237" spans="1:4">
      <c r="A237" s="34" t="str">
        <f>'Final Project Dataset'!D237</f>
        <v>Sharon Butler</v>
      </c>
      <c r="B237" s="34" t="str" cm="1">
        <f t="array" ref="B237">IFERROR(INDEX('Final Project Dataset'!D$2:D$251,MATCH(0,COUNTIF(B$1:B236,'Final Project Dataset'!D$2:D$251)+IF('Final Project Dataset'!L$2:L$251&lt;&gt;"Premium",1,0),0)),"")</f>
        <v/>
      </c>
      <c r="C237" s="34" t="str">
        <f t="shared" si="3"/>
        <v>❌ No Match</v>
      </c>
      <c r="D237" s="34"/>
    </row>
    <row r="238" spans="1:4">
      <c r="A238" s="34" t="str">
        <f>'Final Project Dataset'!D238</f>
        <v>Dorothy Nelson</v>
      </c>
      <c r="B238" s="34" t="str" cm="1">
        <f t="array" ref="B238">IFERROR(INDEX('Final Project Dataset'!D$2:D$251,MATCH(0,COUNTIF(B$1:B237,'Final Project Dataset'!D$2:D$251)+IF('Final Project Dataset'!L$2:L$251&lt;&gt;"Premium",1,0),0)),"")</f>
        <v/>
      </c>
      <c r="C238" s="34" t="str">
        <f t="shared" si="3"/>
        <v>✅ Match</v>
      </c>
      <c r="D238" s="34"/>
    </row>
    <row r="239" spans="1:4">
      <c r="A239" s="34" t="str">
        <f>'Final Project Dataset'!D239</f>
        <v>Paul Baker</v>
      </c>
      <c r="B239" s="34" t="str" cm="1">
        <f t="array" ref="B239">IFERROR(INDEX('Final Project Dataset'!D$2:D$251,MATCH(0,COUNTIF(B$1:B238,'Final Project Dataset'!D$2:D$251)+IF('Final Project Dataset'!L$2:L$251&lt;&gt;"Premium",1,0),0)),"")</f>
        <v/>
      </c>
      <c r="C239" s="34" t="str">
        <f t="shared" si="3"/>
        <v>✅ Match</v>
      </c>
      <c r="D239" s="34"/>
    </row>
    <row r="240" spans="1:4">
      <c r="A240" s="34" t="str">
        <f>'Final Project Dataset'!D240</f>
        <v>John Smith</v>
      </c>
      <c r="B240" s="34" t="str" cm="1">
        <f t="array" ref="B240">IFERROR(INDEX('Final Project Dataset'!D$2:D$251,MATCH(0,COUNTIF(B$1:B239,'Final Project Dataset'!D$2:D$251)+IF('Final Project Dataset'!L$2:L$251&lt;&gt;"Premium",1,0),0)),"")</f>
        <v/>
      </c>
      <c r="C240" s="34" t="str">
        <f t="shared" si="3"/>
        <v>❌ No Match</v>
      </c>
      <c r="D240" s="34"/>
    </row>
    <row r="241" spans="1:4">
      <c r="A241" s="34" t="str">
        <f>'Final Project Dataset'!D241</f>
        <v>Cynthia Price</v>
      </c>
      <c r="B241" s="34" t="str" cm="1">
        <f t="array" ref="B241">IFERROR(INDEX('Final Project Dataset'!D$2:D$251,MATCH(0,COUNTIF(B$1:B240,'Final Project Dataset'!D$2:D$251)+IF('Final Project Dataset'!L$2:L$251&lt;&gt;"Premium",1,0),0)),"")</f>
        <v/>
      </c>
      <c r="C241" s="34" t="str">
        <f t="shared" si="3"/>
        <v>❌ No Match</v>
      </c>
      <c r="D241" s="34"/>
    </row>
    <row r="242" spans="1:4">
      <c r="A242" s="34" t="str">
        <f>'Final Project Dataset'!D242</f>
        <v>Margaret Wright</v>
      </c>
      <c r="B242" s="34" t="str" cm="1">
        <f t="array" ref="B242">IFERROR(INDEX('Final Project Dataset'!D$2:D$251,MATCH(0,COUNTIF(B$1:B241,'Final Project Dataset'!D$2:D$251)+IF('Final Project Dataset'!L$2:L$251&lt;&gt;"Premium",1,0),0)),"")</f>
        <v/>
      </c>
      <c r="C242" s="34" t="str">
        <f t="shared" si="3"/>
        <v>✅ Match</v>
      </c>
      <c r="D242" s="34"/>
    </row>
    <row r="243" spans="1:4">
      <c r="A243" s="34" t="str">
        <f>'Final Project Dataset'!D243</f>
        <v>Virginia Sanders</v>
      </c>
      <c r="B243" s="34" t="str" cm="1">
        <f t="array" ref="B243">IFERROR(INDEX('Final Project Dataset'!D$2:D$251,MATCH(0,COUNTIF(B$1:B242,'Final Project Dataset'!D$2:D$251)+IF('Final Project Dataset'!L$2:L$251&lt;&gt;"Premium",1,0),0)),"")</f>
        <v/>
      </c>
      <c r="C243" s="34" t="str">
        <f t="shared" si="3"/>
        <v>✅ Match</v>
      </c>
      <c r="D243" s="34"/>
    </row>
    <row r="244" spans="1:4">
      <c r="A244" s="34" t="str">
        <f>'Final Project Dataset'!D244</f>
        <v>Karen Hill</v>
      </c>
      <c r="B244" s="34" t="str" cm="1">
        <f t="array" ref="B244">IFERROR(INDEX('Final Project Dataset'!D$2:D$251,MATCH(0,COUNTIF(B$1:B243,'Final Project Dataset'!D$2:D$251)+IF('Final Project Dataset'!L$2:L$251&lt;&gt;"Premium",1,0),0)),"")</f>
        <v/>
      </c>
      <c r="C244" s="34" t="str">
        <f t="shared" si="3"/>
        <v>✅ Match</v>
      </c>
      <c r="D244" s="34"/>
    </row>
    <row r="245" spans="1:4">
      <c r="A245" s="34" t="str">
        <f>'Final Project Dataset'!D245</f>
        <v>Cynthia Price</v>
      </c>
      <c r="B245" s="34" t="str" cm="1">
        <f t="array" ref="B245">IFERROR(INDEX('Final Project Dataset'!D$2:D$251,MATCH(0,COUNTIF(B$1:B244,'Final Project Dataset'!D$2:D$251)+IF('Final Project Dataset'!L$2:L$251&lt;&gt;"Premium",1,0),0)),"")</f>
        <v/>
      </c>
      <c r="C245" s="34" t="str">
        <f t="shared" si="3"/>
        <v>❌ No Match</v>
      </c>
      <c r="D245" s="34"/>
    </row>
    <row r="246" spans="1:4">
      <c r="A246" s="34" t="str">
        <f>'Final Project Dataset'!D246</f>
        <v>Edward Mitchell</v>
      </c>
      <c r="B246" s="34" t="str" cm="1">
        <f t="array" ref="B246">IFERROR(INDEX('Final Project Dataset'!D$2:D$251,MATCH(0,COUNTIF(B$1:B245,'Final Project Dataset'!D$2:D$251)+IF('Final Project Dataset'!L$2:L$251&lt;&gt;"Premium",1,0),0)),"")</f>
        <v/>
      </c>
      <c r="C246" s="34" t="str">
        <f t="shared" si="3"/>
        <v>✅ Match</v>
      </c>
      <c r="D246" s="34"/>
    </row>
    <row r="247" spans="1:4">
      <c r="A247" s="34" t="str">
        <f>'Final Project Dataset'!D247</f>
        <v>Virginia Sanders</v>
      </c>
      <c r="B247" s="34" t="str" cm="1">
        <f t="array" ref="B247">IFERROR(INDEX('Final Project Dataset'!D$2:D$251,MATCH(0,COUNTIF(B$1:B246,'Final Project Dataset'!D$2:D$251)+IF('Final Project Dataset'!L$2:L$251&lt;&gt;"Premium",1,0),0)),"")</f>
        <v/>
      </c>
      <c r="C247" s="34" t="str">
        <f t="shared" si="3"/>
        <v>✅ Match</v>
      </c>
      <c r="D247" s="34"/>
    </row>
    <row r="248" spans="1:4">
      <c r="A248" s="34" t="str">
        <f>'Final Project Dataset'!D248</f>
        <v>Robert Thomas</v>
      </c>
      <c r="B248" s="34" t="str" cm="1">
        <f t="array" ref="B248">IFERROR(INDEX('Final Project Dataset'!D$2:D$251,MATCH(0,COUNTIF(B$1:B247,'Final Project Dataset'!D$2:D$251)+IF('Final Project Dataset'!L$2:L$251&lt;&gt;"Premium",1,0),0)),"")</f>
        <v/>
      </c>
      <c r="C248" s="34" t="str">
        <f t="shared" si="3"/>
        <v>✅ Match</v>
      </c>
      <c r="D248" s="34"/>
    </row>
    <row r="249" spans="1:4">
      <c r="A249" s="34" t="str">
        <f>'Final Project Dataset'!D249</f>
        <v>Douglas Watson</v>
      </c>
      <c r="B249" s="34" t="str" cm="1">
        <f t="array" ref="B249">IFERROR(INDEX('Final Project Dataset'!D$2:D$251,MATCH(0,COUNTIF(B$1:B248,'Final Project Dataset'!D$2:D$251)+IF('Final Project Dataset'!L$2:L$251&lt;&gt;"Premium",1,0),0)),"")</f>
        <v/>
      </c>
      <c r="C249" s="34" t="str">
        <f t="shared" si="3"/>
        <v>✅ Match</v>
      </c>
      <c r="D249" s="34"/>
    </row>
    <row r="250" spans="1:4">
      <c r="A250" s="34" t="str">
        <f>'Final Project Dataset'!D250</f>
        <v>Lawrence Reed</v>
      </c>
      <c r="B250" s="34" t="str" cm="1">
        <f t="array" ref="B250">IFERROR(INDEX('Final Project Dataset'!D$2:D$251,MATCH(0,COUNTIF(B$1:B249,'Final Project Dataset'!D$2:D$251)+IF('Final Project Dataset'!L$2:L$251&lt;&gt;"Premium",1,0),0)),"")</f>
        <v/>
      </c>
      <c r="C250" s="34" t="str">
        <f t="shared" si="3"/>
        <v>✅ Match</v>
      </c>
      <c r="D250" s="34"/>
    </row>
    <row r="251" spans="1:4">
      <c r="A251" s="34" t="str">
        <f>'Final Project Dataset'!D251</f>
        <v>Steven Turner</v>
      </c>
      <c r="B251" s="34" t="str" cm="1">
        <f t="array" ref="B251">IFERROR(INDEX('Final Project Dataset'!D$2:D$251,MATCH(0,COUNTIF(B$1:B250,'Final Project Dataset'!D$2:D$251)+IF('Final Project Dataset'!L$2:L$251&lt;&gt;"Premium",1,0),0)),"")</f>
        <v/>
      </c>
      <c r="C251" s="34" t="str">
        <f t="shared" si="3"/>
        <v>✅ Match</v>
      </c>
      <c r="D251" s="34"/>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F80BD-6915-4A81-8049-2921A772962D}">
  <dimension ref="A1:P251"/>
  <sheetViews>
    <sheetView view="pageBreakPreview" zoomScale="60" zoomScaleNormal="100" workbookViewId="0"/>
  </sheetViews>
  <sheetFormatPr defaultRowHeight="14.4"/>
  <cols>
    <col min="1" max="1" width="19.5546875" customWidth="1"/>
    <col min="2" max="2" width="14.21875" customWidth="1"/>
    <col min="3" max="3" width="15.77734375" customWidth="1"/>
    <col min="4" max="4" width="16" customWidth="1"/>
    <col min="5" max="5" width="14.77734375" customWidth="1"/>
    <col min="6" max="6" width="22" customWidth="1"/>
    <col min="7" max="7" width="19.5546875" customWidth="1"/>
    <col min="8" max="8" width="20" customWidth="1"/>
    <col min="9" max="9" width="15" customWidth="1"/>
    <col min="10" max="10" width="18" customWidth="1"/>
    <col min="11" max="11" width="19.44140625" customWidth="1"/>
    <col min="12" max="12" width="16.6640625" customWidth="1"/>
    <col min="13" max="13" width="17.88671875" customWidth="1"/>
    <col min="15" max="15" width="16.33203125" customWidth="1"/>
    <col min="16" max="16" width="16.77734375" customWidth="1"/>
  </cols>
  <sheetData>
    <row r="1" spans="1:16" ht="15.6">
      <c r="A1" s="14" t="s">
        <v>4</v>
      </c>
      <c r="B1" s="14" t="s">
        <v>581</v>
      </c>
      <c r="C1" s="14" t="s">
        <v>582</v>
      </c>
      <c r="D1" s="14" t="s">
        <v>583</v>
      </c>
      <c r="E1" s="14" t="s">
        <v>584</v>
      </c>
      <c r="F1" s="14" t="s">
        <v>585</v>
      </c>
      <c r="G1" s="14" t="s">
        <v>586</v>
      </c>
      <c r="H1" s="14" t="s">
        <v>587</v>
      </c>
      <c r="I1" s="14" t="s">
        <v>588</v>
      </c>
      <c r="J1" s="14" t="s">
        <v>589</v>
      </c>
      <c r="K1" s="14" t="s">
        <v>590</v>
      </c>
      <c r="L1" s="14" t="s">
        <v>591</v>
      </c>
      <c r="M1" s="14" t="s">
        <v>592</v>
      </c>
      <c r="O1" s="132" t="s">
        <v>600</v>
      </c>
      <c r="P1" s="133"/>
    </row>
    <row r="2" spans="1:16">
      <c r="A2" s="34" t="str">
        <f>'Final Project Dataset'!D2</f>
        <v>Paul Baker</v>
      </c>
      <c r="B2" s="34" t="str">
        <f>LEFT(A2,FIND(" ",A2)-1)</f>
        <v>Paul</v>
      </c>
      <c r="C2" s="34" t="str">
        <f>MID(A2,FIND(" ",A2)+1,LEN(A2))</f>
        <v>Baker</v>
      </c>
      <c r="D2" s="34" t="str">
        <f>LEFT(B2,1)&amp;"."&amp;LEFT(C2,1)&amp;"."</f>
        <v>P.B.</v>
      </c>
      <c r="E2" s="34" t="str">
        <f>B2&amp;" "&amp;LEFT(C2,1)&amp;"."</f>
        <v>Paul B.</v>
      </c>
      <c r="F2" s="34" t="str">
        <f>UPPER(A2)</f>
        <v>PAUL BAKER</v>
      </c>
      <c r="G2" s="34" t="str">
        <f>LOWER(A2)</f>
        <v>paul baker</v>
      </c>
      <c r="H2" s="34" t="str">
        <f>PROPER(A2)</f>
        <v>Paul Baker</v>
      </c>
      <c r="I2" s="34">
        <f>LEN(A2)</f>
        <v>10</v>
      </c>
      <c r="J2" s="34" t="str">
        <f>IF('Final Project Dataset'!G2="Electronics","ELEC",IF('Final Project Dataset'!G2="Furniture","FURN",IF('Final Project Dataset'!G2="Appliances","APPL","")))</f>
        <v>ELEC</v>
      </c>
      <c r="K2" s="34" t="str">
        <f>IF('Final Project Dataset'!K2="North","N",IF('Final Project Dataset'!K2="South","S",IF('Final Project Dataset'!K2="East","E",IF('Final Project Dataset'!K2="West","W",IF('Final Project Dataset'!K2="Central","C","")))))</f>
        <v>C</v>
      </c>
      <c r="L2" s="34" t="str">
        <f>IF('Final Project Dataset'!L2="Premium","PREM",IF('Final Project Dataset'!L2="Standard","STND",IF('Final Project Dataset'!L2="Basic","BASC","")))</f>
        <v>BASC</v>
      </c>
      <c r="M2" s="34" t="str">
        <f>IF('Final Project Dataset'!J2="Credit Card","CC",IF('Final Project Dataset'!J2="Debit Card","DC",IF('Final Project Dataset'!J2="PayPal","PP",IF('Final Project Dataset'!J2="Cash","CSH",""))))</f>
        <v>CSH</v>
      </c>
      <c r="O2" s="106" t="s">
        <v>593</v>
      </c>
      <c r="P2" s="34">
        <f>COUNTA(A2:A251)</f>
        <v>250</v>
      </c>
    </row>
    <row r="3" spans="1:16">
      <c r="A3" s="34" t="str">
        <f>'Final Project Dataset'!D3</f>
        <v>Joseph Jackson</v>
      </c>
      <c r="B3" s="34" t="str">
        <f t="shared" ref="B3:B66" si="0">LEFT(A3,FIND(" ",A3)-1)</f>
        <v>Joseph</v>
      </c>
      <c r="C3" s="34" t="str">
        <f t="shared" ref="C3:C66" si="1">MID(A3,FIND(" ",A3)+1,LEN(A3))</f>
        <v>Jackson</v>
      </c>
      <c r="D3" s="34" t="str">
        <f t="shared" ref="D3:D66" si="2">LEFT(B3,1)&amp;"."&amp;LEFT(C3,1)&amp;"."</f>
        <v>J.J.</v>
      </c>
      <c r="E3" s="34" t="str">
        <f t="shared" ref="E3:E66" si="3">B3&amp;" "&amp;LEFT(C3,1)&amp;"."</f>
        <v>Joseph J.</v>
      </c>
      <c r="F3" s="34" t="str">
        <f t="shared" ref="F3:F66" si="4">UPPER(A3)</f>
        <v>JOSEPH JACKSON</v>
      </c>
      <c r="G3" s="34" t="str">
        <f t="shared" ref="G3:G66" si="5">LOWER(A3)</f>
        <v>joseph jackson</v>
      </c>
      <c r="H3" s="34" t="str">
        <f t="shared" ref="H3:H66" si="6">PROPER(A3)</f>
        <v>Joseph Jackson</v>
      </c>
      <c r="I3" s="34">
        <f t="shared" ref="I3:I66" si="7">LEN(A3)</f>
        <v>14</v>
      </c>
      <c r="J3" s="34" t="str">
        <f>IF('Final Project Dataset'!G3="Electronics","ELEC",IF('Final Project Dataset'!G3="Furniture","FURN",IF('Final Project Dataset'!G3="Appliances","APPL","")))</f>
        <v>ELEC</v>
      </c>
      <c r="K3" s="34" t="str">
        <f>IF('Final Project Dataset'!K3="North","N",IF('Final Project Dataset'!K3="South","S",IF('Final Project Dataset'!K3="East","E",IF('Final Project Dataset'!K3="West","W",IF('Final Project Dataset'!K3="Central","C","")))))</f>
        <v>C</v>
      </c>
      <c r="L3" s="34" t="str">
        <f>IF('Final Project Dataset'!L3="Premium","PREM",IF('Final Project Dataset'!L3="Standard","STND",IF('Final Project Dataset'!L3="Basic","BASC","")))</f>
        <v>PREM</v>
      </c>
      <c r="M3" s="34" t="str">
        <f>IF('Final Project Dataset'!J3="Credit Card","CC",IF('Final Project Dataset'!J3="Debit Card","DC",IF('Final Project Dataset'!J3="PayPal","PP",IF('Final Project Dataset'!J3="Cash","CSH",""))))</f>
        <v>CC</v>
      </c>
      <c r="O3" s="106" t="s">
        <v>594</v>
      </c>
      <c r="P3" s="34">
        <f>AVERAGE(I2:I251)</f>
        <v>12.832000000000001</v>
      </c>
    </row>
    <row r="4" spans="1:16">
      <c r="A4" s="34" t="str">
        <f>'Final Project Dataset'!D4</f>
        <v>Kevin Scott</v>
      </c>
      <c r="B4" s="34" t="str">
        <f t="shared" si="0"/>
        <v>Kevin</v>
      </c>
      <c r="C4" s="34" t="str">
        <f t="shared" si="1"/>
        <v>Scott</v>
      </c>
      <c r="D4" s="34" t="str">
        <f t="shared" si="2"/>
        <v>K.S.</v>
      </c>
      <c r="E4" s="34" t="str">
        <f t="shared" si="3"/>
        <v>Kevin S.</v>
      </c>
      <c r="F4" s="34" t="str">
        <f t="shared" si="4"/>
        <v>KEVIN SCOTT</v>
      </c>
      <c r="G4" s="34" t="str">
        <f t="shared" si="5"/>
        <v>kevin scott</v>
      </c>
      <c r="H4" s="34" t="str">
        <f t="shared" si="6"/>
        <v>Kevin Scott</v>
      </c>
      <c r="I4" s="34">
        <f t="shared" si="7"/>
        <v>11</v>
      </c>
      <c r="J4" s="34" t="str">
        <f>IF('Final Project Dataset'!G4="Electronics","ELEC",IF('Final Project Dataset'!G4="Furniture","FURN",IF('Final Project Dataset'!G4="Appliances","APPL","")))</f>
        <v>APPL</v>
      </c>
      <c r="K4" s="34" t="str">
        <f>IF('Final Project Dataset'!K4="North","N",IF('Final Project Dataset'!K4="South","S",IF('Final Project Dataset'!K4="East","E",IF('Final Project Dataset'!K4="West","W",IF('Final Project Dataset'!K4="Central","C","")))))</f>
        <v>S</v>
      </c>
      <c r="L4" s="34" t="str">
        <f>IF('Final Project Dataset'!L4="Premium","PREM",IF('Final Project Dataset'!L4="Standard","STND",IF('Final Project Dataset'!L4="Basic","BASC","")))</f>
        <v>STND</v>
      </c>
      <c r="M4" s="34" t="str">
        <f>IF('Final Project Dataset'!J4="Credit Card","CC",IF('Final Project Dataset'!J4="Debit Card","DC",IF('Final Project Dataset'!J4="PayPal","PP",IF('Final Project Dataset'!J4="Cash","CSH",""))))</f>
        <v>PP</v>
      </c>
      <c r="O4" s="106" t="s">
        <v>595</v>
      </c>
      <c r="P4" s="34" t="str">
        <f>INDEX(A2:A251,MATCH(MAX(I2:I251),I2:I251,0))</f>
        <v>Kathleen Bennett</v>
      </c>
    </row>
    <row r="5" spans="1:16">
      <c r="A5" s="34" t="str">
        <f>'Final Project Dataset'!D5</f>
        <v>Kathleen Bennett</v>
      </c>
      <c r="B5" s="34" t="str">
        <f t="shared" si="0"/>
        <v>Kathleen</v>
      </c>
      <c r="C5" s="34" t="str">
        <f t="shared" si="1"/>
        <v>Bennett</v>
      </c>
      <c r="D5" s="34" t="str">
        <f t="shared" si="2"/>
        <v>K.B.</v>
      </c>
      <c r="E5" s="34" t="str">
        <f t="shared" si="3"/>
        <v>Kathleen B.</v>
      </c>
      <c r="F5" s="34" t="str">
        <f t="shared" si="4"/>
        <v>KATHLEEN BENNETT</v>
      </c>
      <c r="G5" s="34" t="str">
        <f t="shared" si="5"/>
        <v>kathleen bennett</v>
      </c>
      <c r="H5" s="34" t="str">
        <f t="shared" si="6"/>
        <v>Kathleen Bennett</v>
      </c>
      <c r="I5" s="34">
        <f t="shared" si="7"/>
        <v>16</v>
      </c>
      <c r="J5" s="34" t="str">
        <f>IF('Final Project Dataset'!G5="Electronics","ELEC",IF('Final Project Dataset'!G5="Furniture","FURN",IF('Final Project Dataset'!G5="Appliances","APPL","")))</f>
        <v>APPL</v>
      </c>
      <c r="K5" s="34" t="str">
        <f>IF('Final Project Dataset'!K5="North","N",IF('Final Project Dataset'!K5="South","S",IF('Final Project Dataset'!K5="East","E",IF('Final Project Dataset'!K5="West","W",IF('Final Project Dataset'!K5="Central","C","")))))</f>
        <v>N</v>
      </c>
      <c r="L5" s="34" t="str">
        <f>IF('Final Project Dataset'!L5="Premium","PREM",IF('Final Project Dataset'!L5="Standard","STND",IF('Final Project Dataset'!L5="Basic","BASC","")))</f>
        <v>PREM</v>
      </c>
      <c r="M5" s="34" t="str">
        <f>IF('Final Project Dataset'!J5="Credit Card","CC",IF('Final Project Dataset'!J5="Debit Card","DC",IF('Final Project Dataset'!J5="PayPal","PP",IF('Final Project Dataset'!J5="Cash","CSH",""))))</f>
        <v>CSH</v>
      </c>
      <c r="O5" s="106" t="s">
        <v>596</v>
      </c>
      <c r="P5" s="34" t="str">
        <f>INDEX(A2:A251,MATCH(MIN(I2:I251),I2:I251,0))</f>
        <v>Paul Baker</v>
      </c>
    </row>
    <row r="6" spans="1:16">
      <c r="A6" s="34" t="str">
        <f>'Final Project Dataset'!D6</f>
        <v>Michael Brown</v>
      </c>
      <c r="B6" s="34" t="str">
        <f t="shared" si="0"/>
        <v>Michael</v>
      </c>
      <c r="C6" s="34" t="str">
        <f t="shared" si="1"/>
        <v>Brown</v>
      </c>
      <c r="D6" s="34" t="str">
        <f t="shared" si="2"/>
        <v>M.B.</v>
      </c>
      <c r="E6" s="34" t="str">
        <f t="shared" si="3"/>
        <v>Michael B.</v>
      </c>
      <c r="F6" s="34" t="str">
        <f t="shared" si="4"/>
        <v>MICHAEL BROWN</v>
      </c>
      <c r="G6" s="34" t="str">
        <f t="shared" si="5"/>
        <v>michael brown</v>
      </c>
      <c r="H6" s="34" t="str">
        <f t="shared" si="6"/>
        <v>Michael Brown</v>
      </c>
      <c r="I6" s="34">
        <f t="shared" si="7"/>
        <v>13</v>
      </c>
      <c r="J6" s="34" t="str">
        <f>IF('Final Project Dataset'!G6="Electronics","ELEC",IF('Final Project Dataset'!G6="Furniture","FURN",IF('Final Project Dataset'!G6="Appliances","APPL","")))</f>
        <v>FURN</v>
      </c>
      <c r="K6" s="34" t="str">
        <f>IF('Final Project Dataset'!K6="North","N",IF('Final Project Dataset'!K6="South","S",IF('Final Project Dataset'!K6="East","E",IF('Final Project Dataset'!K6="West","W",IF('Final Project Dataset'!K6="Central","C","")))))</f>
        <v>N</v>
      </c>
      <c r="L6" s="34" t="str">
        <f>IF('Final Project Dataset'!L6="Premium","PREM",IF('Final Project Dataset'!L6="Standard","STND",IF('Final Project Dataset'!L6="Basic","BASC","")))</f>
        <v>PREM</v>
      </c>
      <c r="M6" s="34" t="str">
        <f>IF('Final Project Dataset'!J6="Credit Card","CC",IF('Final Project Dataset'!J6="Debit Card","DC",IF('Final Project Dataset'!J6="PayPal","PP",IF('Final Project Dataset'!J6="Cash","CSH",""))))</f>
        <v>CC</v>
      </c>
      <c r="O6" s="106" t="s">
        <v>597</v>
      </c>
      <c r="P6" s="34">
        <f>COUNTIF(J2:J251,"ELEC")</f>
        <v>131</v>
      </c>
    </row>
    <row r="7" spans="1:16">
      <c r="A7" s="34" t="str">
        <f>'Final Project Dataset'!D7</f>
        <v>Dorothy Nelson</v>
      </c>
      <c r="B7" s="34" t="str">
        <f t="shared" si="0"/>
        <v>Dorothy</v>
      </c>
      <c r="C7" s="34" t="str">
        <f t="shared" si="1"/>
        <v>Nelson</v>
      </c>
      <c r="D7" s="34" t="str">
        <f t="shared" si="2"/>
        <v>D.N.</v>
      </c>
      <c r="E7" s="34" t="str">
        <f t="shared" si="3"/>
        <v>Dorothy N.</v>
      </c>
      <c r="F7" s="34" t="str">
        <f t="shared" si="4"/>
        <v>DOROTHY NELSON</v>
      </c>
      <c r="G7" s="34" t="str">
        <f t="shared" si="5"/>
        <v>dorothy nelson</v>
      </c>
      <c r="H7" s="34" t="str">
        <f t="shared" si="6"/>
        <v>Dorothy Nelson</v>
      </c>
      <c r="I7" s="34">
        <f t="shared" si="7"/>
        <v>14</v>
      </c>
      <c r="J7" s="34" t="str">
        <f>IF('Final Project Dataset'!G7="Electronics","ELEC",IF('Final Project Dataset'!G7="Furniture","FURN",IF('Final Project Dataset'!G7="Appliances","APPL","")))</f>
        <v>APPL</v>
      </c>
      <c r="K7" s="34" t="str">
        <f>IF('Final Project Dataset'!K7="North","N",IF('Final Project Dataset'!K7="South","S",IF('Final Project Dataset'!K7="East","E",IF('Final Project Dataset'!K7="West","W",IF('Final Project Dataset'!K7="Central","C","")))))</f>
        <v>W</v>
      </c>
      <c r="L7" s="34" t="str">
        <f>IF('Final Project Dataset'!L7="Premium","PREM",IF('Final Project Dataset'!L7="Standard","STND",IF('Final Project Dataset'!L7="Basic","BASC","")))</f>
        <v>STND</v>
      </c>
      <c r="M7" s="34" t="str">
        <f>IF('Final Project Dataset'!J7="Credit Card","CC",IF('Final Project Dataset'!J7="Debit Card","DC",IF('Final Project Dataset'!J7="PayPal","PP",IF('Final Project Dataset'!J7="Cash","CSH",""))))</f>
        <v>CSH</v>
      </c>
      <c r="O7" s="106" t="s">
        <v>598</v>
      </c>
      <c r="P7" s="34">
        <f>COUNTIF(J2:J251,"FURN")</f>
        <v>76</v>
      </c>
    </row>
    <row r="8" spans="1:16">
      <c r="A8" s="34" t="str">
        <f>'Final Project Dataset'!D8</f>
        <v>Dorothy Nelson</v>
      </c>
      <c r="B8" s="34" t="str">
        <f t="shared" si="0"/>
        <v>Dorothy</v>
      </c>
      <c r="C8" s="34" t="str">
        <f t="shared" si="1"/>
        <v>Nelson</v>
      </c>
      <c r="D8" s="34" t="str">
        <f t="shared" si="2"/>
        <v>D.N.</v>
      </c>
      <c r="E8" s="34" t="str">
        <f t="shared" si="3"/>
        <v>Dorothy N.</v>
      </c>
      <c r="F8" s="34" t="str">
        <f t="shared" si="4"/>
        <v>DOROTHY NELSON</v>
      </c>
      <c r="G8" s="34" t="str">
        <f t="shared" si="5"/>
        <v>dorothy nelson</v>
      </c>
      <c r="H8" s="34" t="str">
        <f t="shared" si="6"/>
        <v>Dorothy Nelson</v>
      </c>
      <c r="I8" s="34">
        <f t="shared" si="7"/>
        <v>14</v>
      </c>
      <c r="J8" s="34" t="str">
        <f>IF('Final Project Dataset'!G8="Electronics","ELEC",IF('Final Project Dataset'!G8="Furniture","FURN",IF('Final Project Dataset'!G8="Appliances","APPL","")))</f>
        <v>ELEC</v>
      </c>
      <c r="K8" s="34" t="str">
        <f>IF('Final Project Dataset'!K8="North","N",IF('Final Project Dataset'!K8="South","S",IF('Final Project Dataset'!K8="East","E",IF('Final Project Dataset'!K8="West","W",IF('Final Project Dataset'!K8="Central","C","")))))</f>
        <v>C</v>
      </c>
      <c r="L8" s="34" t="str">
        <f>IF('Final Project Dataset'!L8="Premium","PREM",IF('Final Project Dataset'!L8="Standard","STND",IF('Final Project Dataset'!L8="Basic","BASC","")))</f>
        <v>STND</v>
      </c>
      <c r="M8" s="34" t="str">
        <f>IF('Final Project Dataset'!J8="Credit Card","CC",IF('Final Project Dataset'!J8="Debit Card","DC",IF('Final Project Dataset'!J8="PayPal","PP",IF('Final Project Dataset'!J8="Cash","CSH",""))))</f>
        <v>CC</v>
      </c>
      <c r="O8" s="106" t="s">
        <v>599</v>
      </c>
      <c r="P8" s="34">
        <f>COUNTIF(J2:J251,"APPL")</f>
        <v>43</v>
      </c>
    </row>
    <row r="9" spans="1:16">
      <c r="A9" s="34" t="str">
        <f>'Final Project Dataset'!D9</f>
        <v>Charles Allen</v>
      </c>
      <c r="B9" s="34" t="str">
        <f t="shared" si="0"/>
        <v>Charles</v>
      </c>
      <c r="C9" s="34" t="str">
        <f t="shared" si="1"/>
        <v>Allen</v>
      </c>
      <c r="D9" s="34" t="str">
        <f t="shared" si="2"/>
        <v>C.A.</v>
      </c>
      <c r="E9" s="34" t="str">
        <f t="shared" si="3"/>
        <v>Charles A.</v>
      </c>
      <c r="F9" s="34" t="str">
        <f t="shared" si="4"/>
        <v>CHARLES ALLEN</v>
      </c>
      <c r="G9" s="34" t="str">
        <f t="shared" si="5"/>
        <v>charles allen</v>
      </c>
      <c r="H9" s="34" t="str">
        <f t="shared" si="6"/>
        <v>Charles Allen</v>
      </c>
      <c r="I9" s="34">
        <f t="shared" si="7"/>
        <v>13</v>
      </c>
      <c r="J9" s="34" t="str">
        <f>IF('Final Project Dataset'!G9="Electronics","ELEC",IF('Final Project Dataset'!G9="Furniture","FURN",IF('Final Project Dataset'!G9="Appliances","APPL","")))</f>
        <v>APPL</v>
      </c>
      <c r="K9" s="34" t="str">
        <f>IF('Final Project Dataset'!K9="North","N",IF('Final Project Dataset'!K9="South","S",IF('Final Project Dataset'!K9="East","E",IF('Final Project Dataset'!K9="West","W",IF('Final Project Dataset'!K9="Central","C","")))))</f>
        <v>S</v>
      </c>
      <c r="L9" s="34" t="str">
        <f>IF('Final Project Dataset'!L9="Premium","PREM",IF('Final Project Dataset'!L9="Standard","STND",IF('Final Project Dataset'!L9="Basic","BASC","")))</f>
        <v>BASC</v>
      </c>
      <c r="M9" s="34" t="str">
        <f>IF('Final Project Dataset'!J9="Credit Card","CC",IF('Final Project Dataset'!J9="Debit Card","DC",IF('Final Project Dataset'!J9="PayPal","PP",IF('Final Project Dataset'!J9="Cash","CSH",""))))</f>
        <v>DC</v>
      </c>
    </row>
    <row r="10" spans="1:16">
      <c r="A10" s="34" t="str">
        <f>'Final Project Dataset'!D10</f>
        <v>Robert Thomas</v>
      </c>
      <c r="B10" s="34" t="str">
        <f t="shared" si="0"/>
        <v>Robert</v>
      </c>
      <c r="C10" s="34" t="str">
        <f t="shared" si="1"/>
        <v>Thomas</v>
      </c>
      <c r="D10" s="34" t="str">
        <f t="shared" si="2"/>
        <v>R.T.</v>
      </c>
      <c r="E10" s="34" t="str">
        <f t="shared" si="3"/>
        <v>Robert T.</v>
      </c>
      <c r="F10" s="34" t="str">
        <f t="shared" si="4"/>
        <v>ROBERT THOMAS</v>
      </c>
      <c r="G10" s="34" t="str">
        <f t="shared" si="5"/>
        <v>robert thomas</v>
      </c>
      <c r="H10" s="34" t="str">
        <f t="shared" si="6"/>
        <v>Robert Thomas</v>
      </c>
      <c r="I10" s="34">
        <f t="shared" si="7"/>
        <v>13</v>
      </c>
      <c r="J10" s="34" t="str">
        <f>IF('Final Project Dataset'!G10="Electronics","ELEC",IF('Final Project Dataset'!G10="Furniture","FURN",IF('Final Project Dataset'!G10="Appliances","APPL","")))</f>
        <v>ELEC</v>
      </c>
      <c r="K10" s="34" t="str">
        <f>IF('Final Project Dataset'!K10="North","N",IF('Final Project Dataset'!K10="South","S",IF('Final Project Dataset'!K10="East","E",IF('Final Project Dataset'!K10="West","W",IF('Final Project Dataset'!K10="Central","C","")))))</f>
        <v>E</v>
      </c>
      <c r="L10" s="34" t="str">
        <f>IF('Final Project Dataset'!L10="Premium","PREM",IF('Final Project Dataset'!L10="Standard","STND",IF('Final Project Dataset'!L10="Basic","BASC","")))</f>
        <v>STND</v>
      </c>
      <c r="M10" s="34" t="str">
        <f>IF('Final Project Dataset'!J10="Credit Card","CC",IF('Final Project Dataset'!J10="Debit Card","DC",IF('Final Project Dataset'!J10="PayPal","PP",IF('Final Project Dataset'!J10="Cash","CSH",""))))</f>
        <v>PP</v>
      </c>
    </row>
    <row r="11" spans="1:16">
      <c r="A11" s="34" t="str">
        <f>'Final Project Dataset'!D11</f>
        <v>Karen Hill</v>
      </c>
      <c r="B11" s="34" t="str">
        <f t="shared" si="0"/>
        <v>Karen</v>
      </c>
      <c r="C11" s="34" t="str">
        <f t="shared" si="1"/>
        <v>Hill</v>
      </c>
      <c r="D11" s="34" t="str">
        <f t="shared" si="2"/>
        <v>K.H.</v>
      </c>
      <c r="E11" s="34" t="str">
        <f t="shared" si="3"/>
        <v>Karen H.</v>
      </c>
      <c r="F11" s="34" t="str">
        <f t="shared" si="4"/>
        <v>KAREN HILL</v>
      </c>
      <c r="G11" s="34" t="str">
        <f t="shared" si="5"/>
        <v>karen hill</v>
      </c>
      <c r="H11" s="34" t="str">
        <f t="shared" si="6"/>
        <v>Karen Hill</v>
      </c>
      <c r="I11" s="34">
        <f t="shared" si="7"/>
        <v>10</v>
      </c>
      <c r="J11" s="34" t="str">
        <f>IF('Final Project Dataset'!G11="Electronics","ELEC",IF('Final Project Dataset'!G11="Furniture","FURN",IF('Final Project Dataset'!G11="Appliances","APPL","")))</f>
        <v>APPL</v>
      </c>
      <c r="K11" s="34" t="str">
        <f>IF('Final Project Dataset'!K11="North","N",IF('Final Project Dataset'!K11="South","S",IF('Final Project Dataset'!K11="East","E",IF('Final Project Dataset'!K11="West","W",IF('Final Project Dataset'!K11="Central","C","")))))</f>
        <v>W</v>
      </c>
      <c r="L11" s="34" t="str">
        <f>IF('Final Project Dataset'!L11="Premium","PREM",IF('Final Project Dataset'!L11="Standard","STND",IF('Final Project Dataset'!L11="Basic","BASC","")))</f>
        <v>PREM</v>
      </c>
      <c r="M11" s="34" t="str">
        <f>IF('Final Project Dataset'!J11="Credit Card","CC",IF('Final Project Dataset'!J11="Debit Card","DC",IF('Final Project Dataset'!J11="PayPal","PP",IF('Final Project Dataset'!J11="Cash","CSH",""))))</f>
        <v>CSH</v>
      </c>
    </row>
    <row r="12" spans="1:16">
      <c r="A12" s="34" t="str">
        <f>'Final Project Dataset'!D12</f>
        <v>Susan Green</v>
      </c>
      <c r="B12" s="34" t="str">
        <f t="shared" si="0"/>
        <v>Susan</v>
      </c>
      <c r="C12" s="34" t="str">
        <f t="shared" si="1"/>
        <v>Green</v>
      </c>
      <c r="D12" s="34" t="str">
        <f t="shared" si="2"/>
        <v>S.G.</v>
      </c>
      <c r="E12" s="34" t="str">
        <f t="shared" si="3"/>
        <v>Susan G.</v>
      </c>
      <c r="F12" s="34" t="str">
        <f t="shared" si="4"/>
        <v>SUSAN GREEN</v>
      </c>
      <c r="G12" s="34" t="str">
        <f t="shared" si="5"/>
        <v>susan green</v>
      </c>
      <c r="H12" s="34" t="str">
        <f t="shared" si="6"/>
        <v>Susan Green</v>
      </c>
      <c r="I12" s="34">
        <f t="shared" si="7"/>
        <v>11</v>
      </c>
      <c r="J12" s="34" t="str">
        <f>IF('Final Project Dataset'!G12="Electronics","ELEC",IF('Final Project Dataset'!G12="Furniture","FURN",IF('Final Project Dataset'!G12="Appliances","APPL","")))</f>
        <v>FURN</v>
      </c>
      <c r="K12" s="34" t="str">
        <f>IF('Final Project Dataset'!K12="North","N",IF('Final Project Dataset'!K12="South","S",IF('Final Project Dataset'!K12="East","E",IF('Final Project Dataset'!K12="West","W",IF('Final Project Dataset'!K12="Central","C","")))))</f>
        <v>W</v>
      </c>
      <c r="L12" s="34" t="str">
        <f>IF('Final Project Dataset'!L12="Premium","PREM",IF('Final Project Dataset'!L12="Standard","STND",IF('Final Project Dataset'!L12="Basic","BASC","")))</f>
        <v>STND</v>
      </c>
      <c r="M12" s="34" t="str">
        <f>IF('Final Project Dataset'!J12="Credit Card","CC",IF('Final Project Dataset'!J12="Debit Card","DC",IF('Final Project Dataset'!J12="PayPal","PP",IF('Final Project Dataset'!J12="Cash","CSH",""))))</f>
        <v>CC</v>
      </c>
    </row>
    <row r="13" spans="1:16">
      <c r="A13" s="34" t="str">
        <f>'Final Project Dataset'!D13</f>
        <v>Kathleen Bennett</v>
      </c>
      <c r="B13" s="34" t="str">
        <f t="shared" si="0"/>
        <v>Kathleen</v>
      </c>
      <c r="C13" s="34" t="str">
        <f t="shared" si="1"/>
        <v>Bennett</v>
      </c>
      <c r="D13" s="34" t="str">
        <f t="shared" si="2"/>
        <v>K.B.</v>
      </c>
      <c r="E13" s="34" t="str">
        <f t="shared" si="3"/>
        <v>Kathleen B.</v>
      </c>
      <c r="F13" s="34" t="str">
        <f t="shared" si="4"/>
        <v>KATHLEEN BENNETT</v>
      </c>
      <c r="G13" s="34" t="str">
        <f t="shared" si="5"/>
        <v>kathleen bennett</v>
      </c>
      <c r="H13" s="34" t="str">
        <f t="shared" si="6"/>
        <v>Kathleen Bennett</v>
      </c>
      <c r="I13" s="34">
        <f t="shared" si="7"/>
        <v>16</v>
      </c>
      <c r="J13" s="34" t="str">
        <f>IF('Final Project Dataset'!G13="Electronics","ELEC",IF('Final Project Dataset'!G13="Furniture","FURN",IF('Final Project Dataset'!G13="Appliances","APPL","")))</f>
        <v>FURN</v>
      </c>
      <c r="K13" s="34" t="str">
        <f>IF('Final Project Dataset'!K13="North","N",IF('Final Project Dataset'!K13="South","S",IF('Final Project Dataset'!K13="East","E",IF('Final Project Dataset'!K13="West","W",IF('Final Project Dataset'!K13="Central","C","")))))</f>
        <v>N</v>
      </c>
      <c r="L13" s="34" t="str">
        <f>IF('Final Project Dataset'!L13="Premium","PREM",IF('Final Project Dataset'!L13="Standard","STND",IF('Final Project Dataset'!L13="Basic","BASC","")))</f>
        <v>BASC</v>
      </c>
      <c r="M13" s="34" t="str">
        <f>IF('Final Project Dataset'!J13="Credit Card","CC",IF('Final Project Dataset'!J13="Debit Card","DC",IF('Final Project Dataset'!J13="PayPal","PP",IF('Final Project Dataset'!J13="Cash","CSH",""))))</f>
        <v>DC</v>
      </c>
    </row>
    <row r="14" spans="1:16">
      <c r="A14" s="34" t="str">
        <f>'Final Project Dataset'!D14</f>
        <v>Peter Richardson</v>
      </c>
      <c r="B14" s="34" t="str">
        <f t="shared" si="0"/>
        <v>Peter</v>
      </c>
      <c r="C14" s="34" t="str">
        <f t="shared" si="1"/>
        <v>Richardson</v>
      </c>
      <c r="D14" s="34" t="str">
        <f t="shared" si="2"/>
        <v>P.R.</v>
      </c>
      <c r="E14" s="34" t="str">
        <f t="shared" si="3"/>
        <v>Peter R.</v>
      </c>
      <c r="F14" s="34" t="str">
        <f t="shared" si="4"/>
        <v>PETER RICHARDSON</v>
      </c>
      <c r="G14" s="34" t="str">
        <f t="shared" si="5"/>
        <v>peter richardson</v>
      </c>
      <c r="H14" s="34" t="str">
        <f t="shared" si="6"/>
        <v>Peter Richardson</v>
      </c>
      <c r="I14" s="34">
        <f t="shared" si="7"/>
        <v>16</v>
      </c>
      <c r="J14" s="34" t="str">
        <f>IF('Final Project Dataset'!G14="Electronics","ELEC",IF('Final Project Dataset'!G14="Furniture","FURN",IF('Final Project Dataset'!G14="Appliances","APPL","")))</f>
        <v>FURN</v>
      </c>
      <c r="K14" s="34" t="str">
        <f>IF('Final Project Dataset'!K14="North","N",IF('Final Project Dataset'!K14="South","S",IF('Final Project Dataset'!K14="East","E",IF('Final Project Dataset'!K14="West","W",IF('Final Project Dataset'!K14="Central","C","")))))</f>
        <v>N</v>
      </c>
      <c r="L14" s="34" t="str">
        <f>IF('Final Project Dataset'!L14="Premium","PREM",IF('Final Project Dataset'!L14="Standard","STND",IF('Final Project Dataset'!L14="Basic","BASC","")))</f>
        <v>PREM</v>
      </c>
      <c r="M14" s="34" t="str">
        <f>IF('Final Project Dataset'!J14="Credit Card","CC",IF('Final Project Dataset'!J14="Debit Card","DC",IF('Final Project Dataset'!J14="PayPal","PP",IF('Final Project Dataset'!J14="Cash","CSH",""))))</f>
        <v>CSH</v>
      </c>
    </row>
    <row r="15" spans="1:16">
      <c r="A15" s="34" t="str">
        <f>'Final Project Dataset'!D15</f>
        <v>Dennis Gray</v>
      </c>
      <c r="B15" s="34" t="str">
        <f t="shared" si="0"/>
        <v>Dennis</v>
      </c>
      <c r="C15" s="34" t="str">
        <f t="shared" si="1"/>
        <v>Gray</v>
      </c>
      <c r="D15" s="34" t="str">
        <f t="shared" si="2"/>
        <v>D.G.</v>
      </c>
      <c r="E15" s="34" t="str">
        <f t="shared" si="3"/>
        <v>Dennis G.</v>
      </c>
      <c r="F15" s="34" t="str">
        <f t="shared" si="4"/>
        <v>DENNIS GRAY</v>
      </c>
      <c r="G15" s="34" t="str">
        <f t="shared" si="5"/>
        <v>dennis gray</v>
      </c>
      <c r="H15" s="34" t="str">
        <f t="shared" si="6"/>
        <v>Dennis Gray</v>
      </c>
      <c r="I15" s="34">
        <f t="shared" si="7"/>
        <v>11</v>
      </c>
      <c r="J15" s="34" t="str">
        <f>IF('Final Project Dataset'!G15="Electronics","ELEC",IF('Final Project Dataset'!G15="Furniture","FURN",IF('Final Project Dataset'!G15="Appliances","APPL","")))</f>
        <v>APPL</v>
      </c>
      <c r="K15" s="34" t="str">
        <f>IF('Final Project Dataset'!K15="North","N",IF('Final Project Dataset'!K15="South","S",IF('Final Project Dataset'!K15="East","E",IF('Final Project Dataset'!K15="West","W",IF('Final Project Dataset'!K15="Central","C","")))))</f>
        <v>N</v>
      </c>
      <c r="L15" s="34" t="str">
        <f>IF('Final Project Dataset'!L15="Premium","PREM",IF('Final Project Dataset'!L15="Standard","STND",IF('Final Project Dataset'!L15="Basic","BASC","")))</f>
        <v>STND</v>
      </c>
      <c r="M15" s="34" t="str">
        <f>IF('Final Project Dataset'!J15="Credit Card","CC",IF('Final Project Dataset'!J15="Debit Card","DC",IF('Final Project Dataset'!J15="PayPal","PP",IF('Final Project Dataset'!J15="Cash","CSH",""))))</f>
        <v>CC</v>
      </c>
    </row>
    <row r="16" spans="1:16">
      <c r="A16" s="34" t="str">
        <f>'Final Project Dataset'!D16</f>
        <v>Michelle Rogers</v>
      </c>
      <c r="B16" s="34" t="str">
        <f t="shared" si="0"/>
        <v>Michelle</v>
      </c>
      <c r="C16" s="34" t="str">
        <f t="shared" si="1"/>
        <v>Rogers</v>
      </c>
      <c r="D16" s="34" t="str">
        <f t="shared" si="2"/>
        <v>M.R.</v>
      </c>
      <c r="E16" s="34" t="str">
        <f t="shared" si="3"/>
        <v>Michelle R.</v>
      </c>
      <c r="F16" s="34" t="str">
        <f t="shared" si="4"/>
        <v>MICHELLE ROGERS</v>
      </c>
      <c r="G16" s="34" t="str">
        <f t="shared" si="5"/>
        <v>michelle rogers</v>
      </c>
      <c r="H16" s="34" t="str">
        <f t="shared" si="6"/>
        <v>Michelle Rogers</v>
      </c>
      <c r="I16" s="34">
        <f t="shared" si="7"/>
        <v>15</v>
      </c>
      <c r="J16" s="34" t="str">
        <f>IF('Final Project Dataset'!G16="Electronics","ELEC",IF('Final Project Dataset'!G16="Furniture","FURN",IF('Final Project Dataset'!G16="Appliances","APPL","")))</f>
        <v>ELEC</v>
      </c>
      <c r="K16" s="34" t="str">
        <f>IF('Final Project Dataset'!K16="North","N",IF('Final Project Dataset'!K16="South","S",IF('Final Project Dataset'!K16="East","E",IF('Final Project Dataset'!K16="West","W",IF('Final Project Dataset'!K16="Central","C","")))))</f>
        <v>W</v>
      </c>
      <c r="L16" s="34" t="str">
        <f>IF('Final Project Dataset'!L16="Premium","PREM",IF('Final Project Dataset'!L16="Standard","STND",IF('Final Project Dataset'!L16="Basic","BASC","")))</f>
        <v>BASC</v>
      </c>
      <c r="M16" s="34" t="str">
        <f>IF('Final Project Dataset'!J16="Credit Card","CC",IF('Final Project Dataset'!J16="Debit Card","DC",IF('Final Project Dataset'!J16="PayPal","PP",IF('Final Project Dataset'!J16="Cash","CSH",""))))</f>
        <v>CC</v>
      </c>
    </row>
    <row r="17" spans="1:13">
      <c r="A17" s="34" t="str">
        <f>'Final Project Dataset'!D17</f>
        <v>George Adams</v>
      </c>
      <c r="B17" s="34" t="str">
        <f t="shared" si="0"/>
        <v>George</v>
      </c>
      <c r="C17" s="34" t="str">
        <f t="shared" si="1"/>
        <v>Adams</v>
      </c>
      <c r="D17" s="34" t="str">
        <f t="shared" si="2"/>
        <v>G.A.</v>
      </c>
      <c r="E17" s="34" t="str">
        <f t="shared" si="3"/>
        <v>George A.</v>
      </c>
      <c r="F17" s="34" t="str">
        <f t="shared" si="4"/>
        <v>GEORGE ADAMS</v>
      </c>
      <c r="G17" s="34" t="str">
        <f t="shared" si="5"/>
        <v>george adams</v>
      </c>
      <c r="H17" s="34" t="str">
        <f t="shared" si="6"/>
        <v>George Adams</v>
      </c>
      <c r="I17" s="34">
        <f t="shared" si="7"/>
        <v>12</v>
      </c>
      <c r="J17" s="34" t="str">
        <f>IF('Final Project Dataset'!G17="Electronics","ELEC",IF('Final Project Dataset'!G17="Furniture","FURN",IF('Final Project Dataset'!G17="Appliances","APPL","")))</f>
        <v>ELEC</v>
      </c>
      <c r="K17" s="34" t="str">
        <f>IF('Final Project Dataset'!K17="North","N",IF('Final Project Dataset'!K17="South","S",IF('Final Project Dataset'!K17="East","E",IF('Final Project Dataset'!K17="West","W",IF('Final Project Dataset'!K17="Central","C","")))))</f>
        <v>N</v>
      </c>
      <c r="L17" s="34" t="str">
        <f>IF('Final Project Dataset'!L17="Premium","PREM",IF('Final Project Dataset'!L17="Standard","STND",IF('Final Project Dataset'!L17="Basic","BASC","")))</f>
        <v>STND</v>
      </c>
      <c r="M17" s="34" t="str">
        <f>IF('Final Project Dataset'!J17="Credit Card","CC",IF('Final Project Dataset'!J17="Debit Card","DC",IF('Final Project Dataset'!J17="PayPal","PP",IF('Final Project Dataset'!J17="Cash","CSH",""))))</f>
        <v>DC</v>
      </c>
    </row>
    <row r="18" spans="1:13">
      <c r="A18" s="34" t="str">
        <f>'Final Project Dataset'!D18</f>
        <v>Mark Carter</v>
      </c>
      <c r="B18" s="34" t="str">
        <f t="shared" si="0"/>
        <v>Mark</v>
      </c>
      <c r="C18" s="34" t="str">
        <f t="shared" si="1"/>
        <v>Carter</v>
      </c>
      <c r="D18" s="34" t="str">
        <f t="shared" si="2"/>
        <v>M.C.</v>
      </c>
      <c r="E18" s="34" t="str">
        <f t="shared" si="3"/>
        <v>Mark C.</v>
      </c>
      <c r="F18" s="34" t="str">
        <f t="shared" si="4"/>
        <v>MARK CARTER</v>
      </c>
      <c r="G18" s="34" t="str">
        <f t="shared" si="5"/>
        <v>mark carter</v>
      </c>
      <c r="H18" s="34" t="str">
        <f t="shared" si="6"/>
        <v>Mark Carter</v>
      </c>
      <c r="I18" s="34">
        <f t="shared" si="7"/>
        <v>11</v>
      </c>
      <c r="J18" s="34" t="str">
        <f>IF('Final Project Dataset'!G18="Electronics","ELEC",IF('Final Project Dataset'!G18="Furniture","FURN",IF('Final Project Dataset'!G18="Appliances","APPL","")))</f>
        <v>FURN</v>
      </c>
      <c r="K18" s="34" t="str">
        <f>IF('Final Project Dataset'!K18="North","N",IF('Final Project Dataset'!K18="South","S",IF('Final Project Dataset'!K18="East","E",IF('Final Project Dataset'!K18="West","W",IF('Final Project Dataset'!K18="Central","C","")))))</f>
        <v>N</v>
      </c>
      <c r="L18" s="34" t="str">
        <f>IF('Final Project Dataset'!L18="Premium","PREM",IF('Final Project Dataset'!L18="Standard","STND",IF('Final Project Dataset'!L18="Basic","BASC","")))</f>
        <v>PREM</v>
      </c>
      <c r="M18" s="34" t="str">
        <f>IF('Final Project Dataset'!J18="Credit Card","CC",IF('Final Project Dataset'!J18="Debit Card","DC",IF('Final Project Dataset'!J18="PayPal","PP",IF('Final Project Dataset'!J18="Cash","CSH",""))))</f>
        <v>DC</v>
      </c>
    </row>
    <row r="19" spans="1:13">
      <c r="A19" s="34" t="str">
        <f>'Final Project Dataset'!D19</f>
        <v>Maria Garcia</v>
      </c>
      <c r="B19" s="34" t="str">
        <f t="shared" si="0"/>
        <v>Maria</v>
      </c>
      <c r="C19" s="34" t="str">
        <f t="shared" si="1"/>
        <v>Garcia</v>
      </c>
      <c r="D19" s="34" t="str">
        <f t="shared" si="2"/>
        <v>M.G.</v>
      </c>
      <c r="E19" s="34" t="str">
        <f t="shared" si="3"/>
        <v>Maria G.</v>
      </c>
      <c r="F19" s="34" t="str">
        <f t="shared" si="4"/>
        <v>MARIA GARCIA</v>
      </c>
      <c r="G19" s="34" t="str">
        <f t="shared" si="5"/>
        <v>maria garcia</v>
      </c>
      <c r="H19" s="34" t="str">
        <f t="shared" si="6"/>
        <v>Maria Garcia</v>
      </c>
      <c r="I19" s="34">
        <f t="shared" si="7"/>
        <v>12</v>
      </c>
      <c r="J19" s="34" t="str">
        <f>IF('Final Project Dataset'!G19="Electronics","ELEC",IF('Final Project Dataset'!G19="Furniture","FURN",IF('Final Project Dataset'!G19="Appliances","APPL","")))</f>
        <v>ELEC</v>
      </c>
      <c r="K19" s="34" t="str">
        <f>IF('Final Project Dataset'!K19="North","N",IF('Final Project Dataset'!K19="South","S",IF('Final Project Dataset'!K19="East","E",IF('Final Project Dataset'!K19="West","W",IF('Final Project Dataset'!K19="Central","C","")))))</f>
        <v>N</v>
      </c>
      <c r="L19" s="34" t="str">
        <f>IF('Final Project Dataset'!L19="Premium","PREM",IF('Final Project Dataset'!L19="Standard","STND",IF('Final Project Dataset'!L19="Basic","BASC","")))</f>
        <v>BASC</v>
      </c>
      <c r="M19" s="34" t="str">
        <f>IF('Final Project Dataset'!J19="Credit Card","CC",IF('Final Project Dataset'!J19="Debit Card","DC",IF('Final Project Dataset'!J19="PayPal","PP",IF('Final Project Dataset'!J19="Cash","CSH",""))))</f>
        <v>CSH</v>
      </c>
    </row>
    <row r="20" spans="1:13">
      <c r="A20" s="34" t="str">
        <f>'Final Project Dataset'!D20</f>
        <v>Mark Carter</v>
      </c>
      <c r="B20" s="34" t="str">
        <f t="shared" si="0"/>
        <v>Mark</v>
      </c>
      <c r="C20" s="34" t="str">
        <f t="shared" si="1"/>
        <v>Carter</v>
      </c>
      <c r="D20" s="34" t="str">
        <f t="shared" si="2"/>
        <v>M.C.</v>
      </c>
      <c r="E20" s="34" t="str">
        <f t="shared" si="3"/>
        <v>Mark C.</v>
      </c>
      <c r="F20" s="34" t="str">
        <f t="shared" si="4"/>
        <v>MARK CARTER</v>
      </c>
      <c r="G20" s="34" t="str">
        <f t="shared" si="5"/>
        <v>mark carter</v>
      </c>
      <c r="H20" s="34" t="str">
        <f t="shared" si="6"/>
        <v>Mark Carter</v>
      </c>
      <c r="I20" s="34">
        <f t="shared" si="7"/>
        <v>11</v>
      </c>
      <c r="J20" s="34" t="str">
        <f>IF('Final Project Dataset'!G20="Electronics","ELEC",IF('Final Project Dataset'!G20="Furniture","FURN",IF('Final Project Dataset'!G20="Appliances","APPL","")))</f>
        <v>ELEC</v>
      </c>
      <c r="K20" s="34" t="str">
        <f>IF('Final Project Dataset'!K20="North","N",IF('Final Project Dataset'!K20="South","S",IF('Final Project Dataset'!K20="East","E",IF('Final Project Dataset'!K20="West","W",IF('Final Project Dataset'!K20="Central","C","")))))</f>
        <v>W</v>
      </c>
      <c r="L20" s="34" t="str">
        <f>IF('Final Project Dataset'!L20="Premium","PREM",IF('Final Project Dataset'!L20="Standard","STND",IF('Final Project Dataset'!L20="Basic","BASC","")))</f>
        <v>STND</v>
      </c>
      <c r="M20" s="34" t="str">
        <f>IF('Final Project Dataset'!J20="Credit Card","CC",IF('Final Project Dataset'!J20="Debit Card","DC",IF('Final Project Dataset'!J20="PayPal","PP",IF('Final Project Dataset'!J20="Cash","CSH",""))))</f>
        <v>CC</v>
      </c>
    </row>
    <row r="21" spans="1:13">
      <c r="A21" s="34" t="str">
        <f>'Final Project Dataset'!D21</f>
        <v>Virginia Sanders</v>
      </c>
      <c r="B21" s="34" t="str">
        <f t="shared" si="0"/>
        <v>Virginia</v>
      </c>
      <c r="C21" s="34" t="str">
        <f t="shared" si="1"/>
        <v>Sanders</v>
      </c>
      <c r="D21" s="34" t="str">
        <f t="shared" si="2"/>
        <v>V.S.</v>
      </c>
      <c r="E21" s="34" t="str">
        <f t="shared" si="3"/>
        <v>Virginia S.</v>
      </c>
      <c r="F21" s="34" t="str">
        <f t="shared" si="4"/>
        <v>VIRGINIA SANDERS</v>
      </c>
      <c r="G21" s="34" t="str">
        <f t="shared" si="5"/>
        <v>virginia sanders</v>
      </c>
      <c r="H21" s="34" t="str">
        <f t="shared" si="6"/>
        <v>Virginia Sanders</v>
      </c>
      <c r="I21" s="34">
        <f t="shared" si="7"/>
        <v>16</v>
      </c>
      <c r="J21" s="34" t="str">
        <f>IF('Final Project Dataset'!G21="Electronics","ELEC",IF('Final Project Dataset'!G21="Furniture","FURN",IF('Final Project Dataset'!G21="Appliances","APPL","")))</f>
        <v>ELEC</v>
      </c>
      <c r="K21" s="34" t="str">
        <f>IF('Final Project Dataset'!K21="North","N",IF('Final Project Dataset'!K21="South","S",IF('Final Project Dataset'!K21="East","E",IF('Final Project Dataset'!K21="West","W",IF('Final Project Dataset'!K21="Central","C","")))))</f>
        <v>N</v>
      </c>
      <c r="L21" s="34" t="str">
        <f>IF('Final Project Dataset'!L21="Premium","PREM",IF('Final Project Dataset'!L21="Standard","STND",IF('Final Project Dataset'!L21="Basic","BASC","")))</f>
        <v>PREM</v>
      </c>
      <c r="M21" s="34" t="str">
        <f>IF('Final Project Dataset'!J21="Credit Card","CC",IF('Final Project Dataset'!J21="Debit Card","DC",IF('Final Project Dataset'!J21="PayPal","PP",IF('Final Project Dataset'!J21="Cash","CSH",""))))</f>
        <v>CC</v>
      </c>
    </row>
    <row r="22" spans="1:13">
      <c r="A22" s="34" t="str">
        <f>'Final Project Dataset'!D22</f>
        <v>Barbara Young</v>
      </c>
      <c r="B22" s="34" t="str">
        <f t="shared" si="0"/>
        <v>Barbara</v>
      </c>
      <c r="C22" s="34" t="str">
        <f t="shared" si="1"/>
        <v>Young</v>
      </c>
      <c r="D22" s="34" t="str">
        <f t="shared" si="2"/>
        <v>B.Y.</v>
      </c>
      <c r="E22" s="34" t="str">
        <f t="shared" si="3"/>
        <v>Barbara Y.</v>
      </c>
      <c r="F22" s="34" t="str">
        <f t="shared" si="4"/>
        <v>BARBARA YOUNG</v>
      </c>
      <c r="G22" s="34" t="str">
        <f t="shared" si="5"/>
        <v>barbara young</v>
      </c>
      <c r="H22" s="34" t="str">
        <f t="shared" si="6"/>
        <v>Barbara Young</v>
      </c>
      <c r="I22" s="34">
        <f t="shared" si="7"/>
        <v>13</v>
      </c>
      <c r="J22" s="34" t="str">
        <f>IF('Final Project Dataset'!G22="Electronics","ELEC",IF('Final Project Dataset'!G22="Furniture","FURN",IF('Final Project Dataset'!G22="Appliances","APPL","")))</f>
        <v>ELEC</v>
      </c>
      <c r="K22" s="34" t="str">
        <f>IF('Final Project Dataset'!K22="North","N",IF('Final Project Dataset'!K22="South","S",IF('Final Project Dataset'!K22="East","E",IF('Final Project Dataset'!K22="West","W",IF('Final Project Dataset'!K22="Central","C","")))))</f>
        <v>W</v>
      </c>
      <c r="L22" s="34" t="str">
        <f>IF('Final Project Dataset'!L22="Premium","PREM",IF('Final Project Dataset'!L22="Standard","STND",IF('Final Project Dataset'!L22="Basic","BASC","")))</f>
        <v>BASC</v>
      </c>
      <c r="M22" s="34" t="str">
        <f>IF('Final Project Dataset'!J22="Credit Card","CC",IF('Final Project Dataset'!J22="Debit Card","DC",IF('Final Project Dataset'!J22="PayPal","PP",IF('Final Project Dataset'!J22="Cash","CSH",""))))</f>
        <v>CSH</v>
      </c>
    </row>
    <row r="23" spans="1:13">
      <c r="A23" s="34" t="str">
        <f>'Final Project Dataset'!D23</f>
        <v>Patricia Moore</v>
      </c>
      <c r="B23" s="34" t="str">
        <f t="shared" si="0"/>
        <v>Patricia</v>
      </c>
      <c r="C23" s="34" t="str">
        <f t="shared" si="1"/>
        <v>Moore</v>
      </c>
      <c r="D23" s="34" t="str">
        <f t="shared" si="2"/>
        <v>P.M.</v>
      </c>
      <c r="E23" s="34" t="str">
        <f t="shared" si="3"/>
        <v>Patricia M.</v>
      </c>
      <c r="F23" s="34" t="str">
        <f t="shared" si="4"/>
        <v>PATRICIA MOORE</v>
      </c>
      <c r="G23" s="34" t="str">
        <f t="shared" si="5"/>
        <v>patricia moore</v>
      </c>
      <c r="H23" s="34" t="str">
        <f t="shared" si="6"/>
        <v>Patricia Moore</v>
      </c>
      <c r="I23" s="34">
        <f t="shared" si="7"/>
        <v>14</v>
      </c>
      <c r="J23" s="34" t="str">
        <f>IF('Final Project Dataset'!G23="Electronics","ELEC",IF('Final Project Dataset'!G23="Furniture","FURN",IF('Final Project Dataset'!G23="Appliances","APPL","")))</f>
        <v>ELEC</v>
      </c>
      <c r="K23" s="34" t="str">
        <f>IF('Final Project Dataset'!K23="North","N",IF('Final Project Dataset'!K23="South","S",IF('Final Project Dataset'!K23="East","E",IF('Final Project Dataset'!K23="West","W",IF('Final Project Dataset'!K23="Central","C","")))))</f>
        <v>E</v>
      </c>
      <c r="L23" s="34" t="str">
        <f>IF('Final Project Dataset'!L23="Premium","PREM",IF('Final Project Dataset'!L23="Standard","STND",IF('Final Project Dataset'!L23="Basic","BASC","")))</f>
        <v>STND</v>
      </c>
      <c r="M23" s="34" t="str">
        <f>IF('Final Project Dataset'!J23="Credit Card","CC",IF('Final Project Dataset'!J23="Debit Card","DC",IF('Final Project Dataset'!J23="PayPal","PP",IF('Final Project Dataset'!J23="Cash","CSH",""))))</f>
        <v>CSH</v>
      </c>
    </row>
    <row r="24" spans="1:13">
      <c r="A24" s="34" t="str">
        <f>'Final Project Dataset'!D24</f>
        <v>Cynthia Price</v>
      </c>
      <c r="B24" s="34" t="str">
        <f t="shared" si="0"/>
        <v>Cynthia</v>
      </c>
      <c r="C24" s="34" t="str">
        <f t="shared" si="1"/>
        <v>Price</v>
      </c>
      <c r="D24" s="34" t="str">
        <f t="shared" si="2"/>
        <v>C.P.</v>
      </c>
      <c r="E24" s="34" t="str">
        <f t="shared" si="3"/>
        <v>Cynthia P.</v>
      </c>
      <c r="F24" s="34" t="str">
        <f t="shared" si="4"/>
        <v>CYNTHIA PRICE</v>
      </c>
      <c r="G24" s="34" t="str">
        <f t="shared" si="5"/>
        <v>cynthia price</v>
      </c>
      <c r="H24" s="34" t="str">
        <f t="shared" si="6"/>
        <v>Cynthia Price</v>
      </c>
      <c r="I24" s="34">
        <f t="shared" si="7"/>
        <v>13</v>
      </c>
      <c r="J24" s="34" t="str">
        <f>IF('Final Project Dataset'!G24="Electronics","ELEC",IF('Final Project Dataset'!G24="Furniture","FURN",IF('Final Project Dataset'!G24="Appliances","APPL","")))</f>
        <v>ELEC</v>
      </c>
      <c r="K24" s="34" t="str">
        <f>IF('Final Project Dataset'!K24="North","N",IF('Final Project Dataset'!K24="South","S",IF('Final Project Dataset'!K24="East","E",IF('Final Project Dataset'!K24="West","W",IF('Final Project Dataset'!K24="Central","C","")))))</f>
        <v>N</v>
      </c>
      <c r="L24" s="34" t="str">
        <f>IF('Final Project Dataset'!L24="Premium","PREM",IF('Final Project Dataset'!L24="Standard","STND",IF('Final Project Dataset'!L24="Basic","BASC","")))</f>
        <v>STND</v>
      </c>
      <c r="M24" s="34" t="str">
        <f>IF('Final Project Dataset'!J24="Credit Card","CC",IF('Final Project Dataset'!J24="Debit Card","DC",IF('Final Project Dataset'!J24="PayPal","PP",IF('Final Project Dataset'!J24="Cash","CSH",""))))</f>
        <v>PP</v>
      </c>
    </row>
    <row r="25" spans="1:13">
      <c r="A25" s="34" t="str">
        <f>'Final Project Dataset'!D25</f>
        <v>Mark Carter</v>
      </c>
      <c r="B25" s="34" t="str">
        <f t="shared" si="0"/>
        <v>Mark</v>
      </c>
      <c r="C25" s="34" t="str">
        <f t="shared" si="1"/>
        <v>Carter</v>
      </c>
      <c r="D25" s="34" t="str">
        <f t="shared" si="2"/>
        <v>M.C.</v>
      </c>
      <c r="E25" s="34" t="str">
        <f t="shared" si="3"/>
        <v>Mark C.</v>
      </c>
      <c r="F25" s="34" t="str">
        <f t="shared" si="4"/>
        <v>MARK CARTER</v>
      </c>
      <c r="G25" s="34" t="str">
        <f t="shared" si="5"/>
        <v>mark carter</v>
      </c>
      <c r="H25" s="34" t="str">
        <f t="shared" si="6"/>
        <v>Mark Carter</v>
      </c>
      <c r="I25" s="34">
        <f t="shared" si="7"/>
        <v>11</v>
      </c>
      <c r="J25" s="34" t="str">
        <f>IF('Final Project Dataset'!G25="Electronics","ELEC",IF('Final Project Dataset'!G25="Furniture","FURN",IF('Final Project Dataset'!G25="Appliances","APPL","")))</f>
        <v>FURN</v>
      </c>
      <c r="K25" s="34" t="str">
        <f>IF('Final Project Dataset'!K25="North","N",IF('Final Project Dataset'!K25="South","S",IF('Final Project Dataset'!K25="East","E",IF('Final Project Dataset'!K25="West","W",IF('Final Project Dataset'!K25="Central","C","")))))</f>
        <v>W</v>
      </c>
      <c r="L25" s="34" t="str">
        <f>IF('Final Project Dataset'!L25="Premium","PREM",IF('Final Project Dataset'!L25="Standard","STND",IF('Final Project Dataset'!L25="Basic","BASC","")))</f>
        <v>PREM</v>
      </c>
      <c r="M25" s="34" t="str">
        <f>IF('Final Project Dataset'!J25="Credit Card","CC",IF('Final Project Dataset'!J25="Debit Card","DC",IF('Final Project Dataset'!J25="PayPal","PP",IF('Final Project Dataset'!J25="Cash","CSH",""))))</f>
        <v>CSH</v>
      </c>
    </row>
    <row r="26" spans="1:13">
      <c r="A26" s="34" t="str">
        <f>'Final Project Dataset'!D26</f>
        <v>Nancy Collins</v>
      </c>
      <c r="B26" s="34" t="str">
        <f t="shared" si="0"/>
        <v>Nancy</v>
      </c>
      <c r="C26" s="34" t="str">
        <f t="shared" si="1"/>
        <v>Collins</v>
      </c>
      <c r="D26" s="34" t="str">
        <f t="shared" si="2"/>
        <v>N.C.</v>
      </c>
      <c r="E26" s="34" t="str">
        <f t="shared" si="3"/>
        <v>Nancy C.</v>
      </c>
      <c r="F26" s="34" t="str">
        <f t="shared" si="4"/>
        <v>NANCY COLLINS</v>
      </c>
      <c r="G26" s="34" t="str">
        <f t="shared" si="5"/>
        <v>nancy collins</v>
      </c>
      <c r="H26" s="34" t="str">
        <f t="shared" si="6"/>
        <v>Nancy Collins</v>
      </c>
      <c r="I26" s="34">
        <f t="shared" si="7"/>
        <v>13</v>
      </c>
      <c r="J26" s="34" t="str">
        <f>IF('Final Project Dataset'!G26="Electronics","ELEC",IF('Final Project Dataset'!G26="Furniture","FURN",IF('Final Project Dataset'!G26="Appliances","APPL","")))</f>
        <v>ELEC</v>
      </c>
      <c r="K26" s="34" t="str">
        <f>IF('Final Project Dataset'!K26="North","N",IF('Final Project Dataset'!K26="South","S",IF('Final Project Dataset'!K26="East","E",IF('Final Project Dataset'!K26="West","W",IF('Final Project Dataset'!K26="Central","C","")))))</f>
        <v>W</v>
      </c>
      <c r="L26" s="34" t="str">
        <f>IF('Final Project Dataset'!L26="Premium","PREM",IF('Final Project Dataset'!L26="Standard","STND",IF('Final Project Dataset'!L26="Basic","BASC","")))</f>
        <v>STND</v>
      </c>
      <c r="M26" s="34" t="str">
        <f>IF('Final Project Dataset'!J26="Credit Card","CC",IF('Final Project Dataset'!J26="Debit Card","DC",IF('Final Project Dataset'!J26="PayPal","PP",IF('Final Project Dataset'!J26="Cash","CSH",""))))</f>
        <v>CC</v>
      </c>
    </row>
    <row r="27" spans="1:13">
      <c r="A27" s="34" t="str">
        <f>'Final Project Dataset'!D27</f>
        <v>Susan Green</v>
      </c>
      <c r="B27" s="34" t="str">
        <f t="shared" si="0"/>
        <v>Susan</v>
      </c>
      <c r="C27" s="34" t="str">
        <f t="shared" si="1"/>
        <v>Green</v>
      </c>
      <c r="D27" s="34" t="str">
        <f t="shared" si="2"/>
        <v>S.G.</v>
      </c>
      <c r="E27" s="34" t="str">
        <f t="shared" si="3"/>
        <v>Susan G.</v>
      </c>
      <c r="F27" s="34" t="str">
        <f t="shared" si="4"/>
        <v>SUSAN GREEN</v>
      </c>
      <c r="G27" s="34" t="str">
        <f t="shared" si="5"/>
        <v>susan green</v>
      </c>
      <c r="H27" s="34" t="str">
        <f t="shared" si="6"/>
        <v>Susan Green</v>
      </c>
      <c r="I27" s="34">
        <f t="shared" si="7"/>
        <v>11</v>
      </c>
      <c r="J27" s="34" t="str">
        <f>IF('Final Project Dataset'!G27="Electronics","ELEC",IF('Final Project Dataset'!G27="Furniture","FURN",IF('Final Project Dataset'!G27="Appliances","APPL","")))</f>
        <v>FURN</v>
      </c>
      <c r="K27" s="34" t="str">
        <f>IF('Final Project Dataset'!K27="North","N",IF('Final Project Dataset'!K27="South","S",IF('Final Project Dataset'!K27="East","E",IF('Final Project Dataset'!K27="West","W",IF('Final Project Dataset'!K27="Central","C","")))))</f>
        <v>E</v>
      </c>
      <c r="L27" s="34" t="str">
        <f>IF('Final Project Dataset'!L27="Premium","PREM",IF('Final Project Dataset'!L27="Standard","STND",IF('Final Project Dataset'!L27="Basic","BASC","")))</f>
        <v>BASC</v>
      </c>
      <c r="M27" s="34" t="str">
        <f>IF('Final Project Dataset'!J27="Credit Card","CC",IF('Final Project Dataset'!J27="Debit Card","DC",IF('Final Project Dataset'!J27="PayPal","PP",IF('Final Project Dataset'!J27="Cash","CSH",""))))</f>
        <v>PP</v>
      </c>
    </row>
    <row r="28" spans="1:13">
      <c r="A28" s="34" t="str">
        <f>'Final Project Dataset'!D28</f>
        <v>Linda Martin</v>
      </c>
      <c r="B28" s="34" t="str">
        <f t="shared" si="0"/>
        <v>Linda</v>
      </c>
      <c r="C28" s="34" t="str">
        <f t="shared" si="1"/>
        <v>Martin</v>
      </c>
      <c r="D28" s="34" t="str">
        <f t="shared" si="2"/>
        <v>L.M.</v>
      </c>
      <c r="E28" s="34" t="str">
        <f t="shared" si="3"/>
        <v>Linda M.</v>
      </c>
      <c r="F28" s="34" t="str">
        <f t="shared" si="4"/>
        <v>LINDA MARTIN</v>
      </c>
      <c r="G28" s="34" t="str">
        <f t="shared" si="5"/>
        <v>linda martin</v>
      </c>
      <c r="H28" s="34" t="str">
        <f t="shared" si="6"/>
        <v>Linda Martin</v>
      </c>
      <c r="I28" s="34">
        <f t="shared" si="7"/>
        <v>12</v>
      </c>
      <c r="J28" s="34" t="str">
        <f>IF('Final Project Dataset'!G28="Electronics","ELEC",IF('Final Project Dataset'!G28="Furniture","FURN",IF('Final Project Dataset'!G28="Appliances","APPL","")))</f>
        <v>APPL</v>
      </c>
      <c r="K28" s="34" t="str">
        <f>IF('Final Project Dataset'!K28="North","N",IF('Final Project Dataset'!K28="South","S",IF('Final Project Dataset'!K28="East","E",IF('Final Project Dataset'!K28="West","W",IF('Final Project Dataset'!K28="Central","C","")))))</f>
        <v>E</v>
      </c>
      <c r="L28" s="34" t="str">
        <f>IF('Final Project Dataset'!L28="Premium","PREM",IF('Final Project Dataset'!L28="Standard","STND",IF('Final Project Dataset'!L28="Basic","BASC","")))</f>
        <v>PREM</v>
      </c>
      <c r="M28" s="34" t="str">
        <f>IF('Final Project Dataset'!J28="Credit Card","CC",IF('Final Project Dataset'!J28="Debit Card","DC",IF('Final Project Dataset'!J28="PayPal","PP",IF('Final Project Dataset'!J28="Cash","CSH",""))))</f>
        <v>PP</v>
      </c>
    </row>
    <row r="29" spans="1:13">
      <c r="A29" s="34" t="str">
        <f>'Final Project Dataset'!D29</f>
        <v>Patricia Moore</v>
      </c>
      <c r="B29" s="34" t="str">
        <f t="shared" si="0"/>
        <v>Patricia</v>
      </c>
      <c r="C29" s="34" t="str">
        <f t="shared" si="1"/>
        <v>Moore</v>
      </c>
      <c r="D29" s="34" t="str">
        <f t="shared" si="2"/>
        <v>P.M.</v>
      </c>
      <c r="E29" s="34" t="str">
        <f t="shared" si="3"/>
        <v>Patricia M.</v>
      </c>
      <c r="F29" s="34" t="str">
        <f t="shared" si="4"/>
        <v>PATRICIA MOORE</v>
      </c>
      <c r="G29" s="34" t="str">
        <f t="shared" si="5"/>
        <v>patricia moore</v>
      </c>
      <c r="H29" s="34" t="str">
        <f t="shared" si="6"/>
        <v>Patricia Moore</v>
      </c>
      <c r="I29" s="34">
        <f t="shared" si="7"/>
        <v>14</v>
      </c>
      <c r="J29" s="34" t="str">
        <f>IF('Final Project Dataset'!G29="Electronics","ELEC",IF('Final Project Dataset'!G29="Furniture","FURN",IF('Final Project Dataset'!G29="Appliances","APPL","")))</f>
        <v>ELEC</v>
      </c>
      <c r="K29" s="34" t="str">
        <f>IF('Final Project Dataset'!K29="North","N",IF('Final Project Dataset'!K29="South","S",IF('Final Project Dataset'!K29="East","E",IF('Final Project Dataset'!K29="West","W",IF('Final Project Dataset'!K29="Central","C","")))))</f>
        <v>N</v>
      </c>
      <c r="L29" s="34" t="str">
        <f>IF('Final Project Dataset'!L29="Premium","PREM",IF('Final Project Dataset'!L29="Standard","STND",IF('Final Project Dataset'!L29="Basic","BASC","")))</f>
        <v>PREM</v>
      </c>
      <c r="M29" s="34" t="str">
        <f>IF('Final Project Dataset'!J29="Credit Card","CC",IF('Final Project Dataset'!J29="Debit Card","DC",IF('Final Project Dataset'!J29="PayPal","PP",IF('Final Project Dataset'!J29="Cash","CSH",""))))</f>
        <v>CSH</v>
      </c>
    </row>
    <row r="30" spans="1:13">
      <c r="A30" s="34" t="str">
        <f>'Final Project Dataset'!D30</f>
        <v>Helen Roberts</v>
      </c>
      <c r="B30" s="34" t="str">
        <f t="shared" si="0"/>
        <v>Helen</v>
      </c>
      <c r="C30" s="34" t="str">
        <f t="shared" si="1"/>
        <v>Roberts</v>
      </c>
      <c r="D30" s="34" t="str">
        <f t="shared" si="2"/>
        <v>H.R.</v>
      </c>
      <c r="E30" s="34" t="str">
        <f t="shared" si="3"/>
        <v>Helen R.</v>
      </c>
      <c r="F30" s="34" t="str">
        <f t="shared" si="4"/>
        <v>HELEN ROBERTS</v>
      </c>
      <c r="G30" s="34" t="str">
        <f t="shared" si="5"/>
        <v>helen roberts</v>
      </c>
      <c r="H30" s="34" t="str">
        <f t="shared" si="6"/>
        <v>Helen Roberts</v>
      </c>
      <c r="I30" s="34">
        <f t="shared" si="7"/>
        <v>13</v>
      </c>
      <c r="J30" s="34" t="str">
        <f>IF('Final Project Dataset'!G30="Electronics","ELEC",IF('Final Project Dataset'!G30="Furniture","FURN",IF('Final Project Dataset'!G30="Appliances","APPL","")))</f>
        <v>APPL</v>
      </c>
      <c r="K30" s="34" t="str">
        <f>IF('Final Project Dataset'!K30="North","N",IF('Final Project Dataset'!K30="South","S",IF('Final Project Dataset'!K30="East","E",IF('Final Project Dataset'!K30="West","W",IF('Final Project Dataset'!K30="Central","C","")))))</f>
        <v>C</v>
      </c>
      <c r="L30" s="34" t="str">
        <f>IF('Final Project Dataset'!L30="Premium","PREM",IF('Final Project Dataset'!L30="Standard","STND",IF('Final Project Dataset'!L30="Basic","BASC","")))</f>
        <v>STND</v>
      </c>
      <c r="M30" s="34" t="str">
        <f>IF('Final Project Dataset'!J30="Credit Card","CC",IF('Final Project Dataset'!J30="Debit Card","DC",IF('Final Project Dataset'!J30="PayPal","PP",IF('Final Project Dataset'!J30="Cash","CSH",""))))</f>
        <v>DC</v>
      </c>
    </row>
    <row r="31" spans="1:13">
      <c r="A31" s="34" t="str">
        <f>'Final Project Dataset'!D31</f>
        <v>Edward Mitchell</v>
      </c>
      <c r="B31" s="34" t="str">
        <f t="shared" si="0"/>
        <v>Edward</v>
      </c>
      <c r="C31" s="34" t="str">
        <f t="shared" si="1"/>
        <v>Mitchell</v>
      </c>
      <c r="D31" s="34" t="str">
        <f t="shared" si="2"/>
        <v>E.M.</v>
      </c>
      <c r="E31" s="34" t="str">
        <f t="shared" si="3"/>
        <v>Edward M.</v>
      </c>
      <c r="F31" s="34" t="str">
        <f t="shared" si="4"/>
        <v>EDWARD MITCHELL</v>
      </c>
      <c r="G31" s="34" t="str">
        <f t="shared" si="5"/>
        <v>edward mitchell</v>
      </c>
      <c r="H31" s="34" t="str">
        <f t="shared" si="6"/>
        <v>Edward Mitchell</v>
      </c>
      <c r="I31" s="34">
        <f t="shared" si="7"/>
        <v>15</v>
      </c>
      <c r="J31" s="34" t="str">
        <f>IF('Final Project Dataset'!G31="Electronics","ELEC",IF('Final Project Dataset'!G31="Furniture","FURN",IF('Final Project Dataset'!G31="Appliances","APPL","")))</f>
        <v>APPL</v>
      </c>
      <c r="K31" s="34" t="str">
        <f>IF('Final Project Dataset'!K31="North","N",IF('Final Project Dataset'!K31="South","S",IF('Final Project Dataset'!K31="East","E",IF('Final Project Dataset'!K31="West","W",IF('Final Project Dataset'!K31="Central","C","")))))</f>
        <v>E</v>
      </c>
      <c r="L31" s="34" t="str">
        <f>IF('Final Project Dataset'!L31="Premium","PREM",IF('Final Project Dataset'!L31="Standard","STND",IF('Final Project Dataset'!L31="Basic","BASC","")))</f>
        <v>STND</v>
      </c>
      <c r="M31" s="34" t="str">
        <f>IF('Final Project Dataset'!J31="Credit Card","CC",IF('Final Project Dataset'!J31="Debit Card","DC",IF('Final Project Dataset'!J31="PayPal","PP",IF('Final Project Dataset'!J31="Cash","CSH",""))))</f>
        <v>DC</v>
      </c>
    </row>
    <row r="32" spans="1:13">
      <c r="A32" s="34" t="str">
        <f>'Final Project Dataset'!D32</f>
        <v>Charles Allen</v>
      </c>
      <c r="B32" s="34" t="str">
        <f t="shared" si="0"/>
        <v>Charles</v>
      </c>
      <c r="C32" s="34" t="str">
        <f t="shared" si="1"/>
        <v>Allen</v>
      </c>
      <c r="D32" s="34" t="str">
        <f t="shared" si="2"/>
        <v>C.A.</v>
      </c>
      <c r="E32" s="34" t="str">
        <f t="shared" si="3"/>
        <v>Charles A.</v>
      </c>
      <c r="F32" s="34" t="str">
        <f t="shared" si="4"/>
        <v>CHARLES ALLEN</v>
      </c>
      <c r="G32" s="34" t="str">
        <f t="shared" si="5"/>
        <v>charles allen</v>
      </c>
      <c r="H32" s="34" t="str">
        <f t="shared" si="6"/>
        <v>Charles Allen</v>
      </c>
      <c r="I32" s="34">
        <f t="shared" si="7"/>
        <v>13</v>
      </c>
      <c r="J32" s="34" t="str">
        <f>IF('Final Project Dataset'!G32="Electronics","ELEC",IF('Final Project Dataset'!G32="Furniture","FURN",IF('Final Project Dataset'!G32="Appliances","APPL","")))</f>
        <v>FURN</v>
      </c>
      <c r="K32" s="34" t="str">
        <f>IF('Final Project Dataset'!K32="North","N",IF('Final Project Dataset'!K32="South","S",IF('Final Project Dataset'!K32="East","E",IF('Final Project Dataset'!K32="West","W",IF('Final Project Dataset'!K32="Central","C","")))))</f>
        <v>S</v>
      </c>
      <c r="L32" s="34" t="str">
        <f>IF('Final Project Dataset'!L32="Premium","PREM",IF('Final Project Dataset'!L32="Standard","STND",IF('Final Project Dataset'!L32="Basic","BASC","")))</f>
        <v>STND</v>
      </c>
      <c r="M32" s="34" t="str">
        <f>IF('Final Project Dataset'!J32="Credit Card","CC",IF('Final Project Dataset'!J32="Debit Card","DC",IF('Final Project Dataset'!J32="PayPal","PP",IF('Final Project Dataset'!J32="Cash","CSH",""))))</f>
        <v>CSH</v>
      </c>
    </row>
    <row r="33" spans="1:13">
      <c r="A33" s="34" t="str">
        <f>'Final Project Dataset'!D33</f>
        <v>Lisa Anderson</v>
      </c>
      <c r="B33" s="34" t="str">
        <f t="shared" si="0"/>
        <v>Lisa</v>
      </c>
      <c r="C33" s="34" t="str">
        <f t="shared" si="1"/>
        <v>Anderson</v>
      </c>
      <c r="D33" s="34" t="str">
        <f t="shared" si="2"/>
        <v>L.A.</v>
      </c>
      <c r="E33" s="34" t="str">
        <f t="shared" si="3"/>
        <v>Lisa A.</v>
      </c>
      <c r="F33" s="34" t="str">
        <f t="shared" si="4"/>
        <v>LISA ANDERSON</v>
      </c>
      <c r="G33" s="34" t="str">
        <f t="shared" si="5"/>
        <v>lisa anderson</v>
      </c>
      <c r="H33" s="34" t="str">
        <f t="shared" si="6"/>
        <v>Lisa Anderson</v>
      </c>
      <c r="I33" s="34">
        <f t="shared" si="7"/>
        <v>13</v>
      </c>
      <c r="J33" s="34" t="str">
        <f>IF('Final Project Dataset'!G33="Electronics","ELEC",IF('Final Project Dataset'!G33="Furniture","FURN",IF('Final Project Dataset'!G33="Appliances","APPL","")))</f>
        <v>FURN</v>
      </c>
      <c r="K33" s="34" t="str">
        <f>IF('Final Project Dataset'!K33="North","N",IF('Final Project Dataset'!K33="South","S",IF('Final Project Dataset'!K33="East","E",IF('Final Project Dataset'!K33="West","W",IF('Final Project Dataset'!K33="Central","C","")))))</f>
        <v>W</v>
      </c>
      <c r="L33" s="34" t="str">
        <f>IF('Final Project Dataset'!L33="Premium","PREM",IF('Final Project Dataset'!L33="Standard","STND",IF('Final Project Dataset'!L33="Basic","BASC","")))</f>
        <v>BASC</v>
      </c>
      <c r="M33" s="34" t="str">
        <f>IF('Final Project Dataset'!J33="Credit Card","CC",IF('Final Project Dataset'!J33="Debit Card","DC",IF('Final Project Dataset'!J33="PayPal","PP",IF('Final Project Dataset'!J33="Cash","CSH",""))))</f>
        <v>CC</v>
      </c>
    </row>
    <row r="34" spans="1:13">
      <c r="A34" s="34" t="str">
        <f>'Final Project Dataset'!D34</f>
        <v>Emma Wilson</v>
      </c>
      <c r="B34" s="34" t="str">
        <f t="shared" si="0"/>
        <v>Emma</v>
      </c>
      <c r="C34" s="34" t="str">
        <f t="shared" si="1"/>
        <v>Wilson</v>
      </c>
      <c r="D34" s="34" t="str">
        <f t="shared" si="2"/>
        <v>E.W.</v>
      </c>
      <c r="E34" s="34" t="str">
        <f t="shared" si="3"/>
        <v>Emma W.</v>
      </c>
      <c r="F34" s="34" t="str">
        <f t="shared" si="4"/>
        <v>EMMA WILSON</v>
      </c>
      <c r="G34" s="34" t="str">
        <f t="shared" si="5"/>
        <v>emma wilson</v>
      </c>
      <c r="H34" s="34" t="str">
        <f t="shared" si="6"/>
        <v>Emma Wilson</v>
      </c>
      <c r="I34" s="34">
        <f t="shared" si="7"/>
        <v>11</v>
      </c>
      <c r="J34" s="34" t="str">
        <f>IF('Final Project Dataset'!G34="Electronics","ELEC",IF('Final Project Dataset'!G34="Furniture","FURN",IF('Final Project Dataset'!G34="Appliances","APPL","")))</f>
        <v>FURN</v>
      </c>
      <c r="K34" s="34" t="str">
        <f>IF('Final Project Dataset'!K34="North","N",IF('Final Project Dataset'!K34="South","S",IF('Final Project Dataset'!K34="East","E",IF('Final Project Dataset'!K34="West","W",IF('Final Project Dataset'!K34="Central","C","")))))</f>
        <v>W</v>
      </c>
      <c r="L34" s="34" t="str">
        <f>IF('Final Project Dataset'!L34="Premium","PREM",IF('Final Project Dataset'!L34="Standard","STND",IF('Final Project Dataset'!L34="Basic","BASC","")))</f>
        <v>PREM</v>
      </c>
      <c r="M34" s="34" t="str">
        <f>IF('Final Project Dataset'!J34="Credit Card","CC",IF('Final Project Dataset'!J34="Debit Card","DC",IF('Final Project Dataset'!J34="PayPal","PP",IF('Final Project Dataset'!J34="Cash","CSH",""))))</f>
        <v>CC</v>
      </c>
    </row>
    <row r="35" spans="1:13">
      <c r="A35" s="34" t="str">
        <f>'Final Project Dataset'!D35</f>
        <v>Kevin Scott</v>
      </c>
      <c r="B35" s="34" t="str">
        <f t="shared" si="0"/>
        <v>Kevin</v>
      </c>
      <c r="C35" s="34" t="str">
        <f t="shared" si="1"/>
        <v>Scott</v>
      </c>
      <c r="D35" s="34" t="str">
        <f t="shared" si="2"/>
        <v>K.S.</v>
      </c>
      <c r="E35" s="34" t="str">
        <f t="shared" si="3"/>
        <v>Kevin S.</v>
      </c>
      <c r="F35" s="34" t="str">
        <f t="shared" si="4"/>
        <v>KEVIN SCOTT</v>
      </c>
      <c r="G35" s="34" t="str">
        <f t="shared" si="5"/>
        <v>kevin scott</v>
      </c>
      <c r="H35" s="34" t="str">
        <f t="shared" si="6"/>
        <v>Kevin Scott</v>
      </c>
      <c r="I35" s="34">
        <f t="shared" si="7"/>
        <v>11</v>
      </c>
      <c r="J35" s="34" t="str">
        <f>IF('Final Project Dataset'!G35="Electronics","ELEC",IF('Final Project Dataset'!G35="Furniture","FURN",IF('Final Project Dataset'!G35="Appliances","APPL","")))</f>
        <v>ELEC</v>
      </c>
      <c r="K35" s="34" t="str">
        <f>IF('Final Project Dataset'!K35="North","N",IF('Final Project Dataset'!K35="South","S",IF('Final Project Dataset'!K35="East","E",IF('Final Project Dataset'!K35="West","W",IF('Final Project Dataset'!K35="Central","C","")))))</f>
        <v>W</v>
      </c>
      <c r="L35" s="34" t="str">
        <f>IF('Final Project Dataset'!L35="Premium","PREM",IF('Final Project Dataset'!L35="Standard","STND",IF('Final Project Dataset'!L35="Basic","BASC","")))</f>
        <v>PREM</v>
      </c>
      <c r="M35" s="34" t="str">
        <f>IF('Final Project Dataset'!J35="Credit Card","CC",IF('Final Project Dataset'!J35="Debit Card","DC",IF('Final Project Dataset'!J35="PayPal","PP",IF('Final Project Dataset'!J35="Cash","CSH",""))))</f>
        <v>CC</v>
      </c>
    </row>
    <row r="36" spans="1:13">
      <c r="A36" s="34" t="str">
        <f>'Final Project Dataset'!D36</f>
        <v>Patricia Moore</v>
      </c>
      <c r="B36" s="34" t="str">
        <f t="shared" si="0"/>
        <v>Patricia</v>
      </c>
      <c r="C36" s="34" t="str">
        <f t="shared" si="1"/>
        <v>Moore</v>
      </c>
      <c r="D36" s="34" t="str">
        <f t="shared" si="2"/>
        <v>P.M.</v>
      </c>
      <c r="E36" s="34" t="str">
        <f t="shared" si="3"/>
        <v>Patricia M.</v>
      </c>
      <c r="F36" s="34" t="str">
        <f t="shared" si="4"/>
        <v>PATRICIA MOORE</v>
      </c>
      <c r="G36" s="34" t="str">
        <f t="shared" si="5"/>
        <v>patricia moore</v>
      </c>
      <c r="H36" s="34" t="str">
        <f t="shared" si="6"/>
        <v>Patricia Moore</v>
      </c>
      <c r="I36" s="34">
        <f t="shared" si="7"/>
        <v>14</v>
      </c>
      <c r="J36" s="34" t="str">
        <f>IF('Final Project Dataset'!G36="Electronics","ELEC",IF('Final Project Dataset'!G36="Furniture","FURN",IF('Final Project Dataset'!G36="Appliances","APPL","")))</f>
        <v>FURN</v>
      </c>
      <c r="K36" s="34" t="str">
        <f>IF('Final Project Dataset'!K36="North","N",IF('Final Project Dataset'!K36="South","S",IF('Final Project Dataset'!K36="East","E",IF('Final Project Dataset'!K36="West","W",IF('Final Project Dataset'!K36="Central","C","")))))</f>
        <v>E</v>
      </c>
      <c r="L36" s="34" t="str">
        <f>IF('Final Project Dataset'!L36="Premium","PREM",IF('Final Project Dataset'!L36="Standard","STND",IF('Final Project Dataset'!L36="Basic","BASC","")))</f>
        <v>BASC</v>
      </c>
      <c r="M36" s="34" t="str">
        <f>IF('Final Project Dataset'!J36="Credit Card","CC",IF('Final Project Dataset'!J36="Debit Card","DC",IF('Final Project Dataset'!J36="PayPal","PP",IF('Final Project Dataset'!J36="Cash","CSH",""))))</f>
        <v>CC</v>
      </c>
    </row>
    <row r="37" spans="1:13">
      <c r="A37" s="34" t="str">
        <f>'Final Project Dataset'!D37</f>
        <v>Lisa Anderson</v>
      </c>
      <c r="B37" s="34" t="str">
        <f t="shared" si="0"/>
        <v>Lisa</v>
      </c>
      <c r="C37" s="34" t="str">
        <f t="shared" si="1"/>
        <v>Anderson</v>
      </c>
      <c r="D37" s="34" t="str">
        <f t="shared" si="2"/>
        <v>L.A.</v>
      </c>
      <c r="E37" s="34" t="str">
        <f t="shared" si="3"/>
        <v>Lisa A.</v>
      </c>
      <c r="F37" s="34" t="str">
        <f t="shared" si="4"/>
        <v>LISA ANDERSON</v>
      </c>
      <c r="G37" s="34" t="str">
        <f t="shared" si="5"/>
        <v>lisa anderson</v>
      </c>
      <c r="H37" s="34" t="str">
        <f t="shared" si="6"/>
        <v>Lisa Anderson</v>
      </c>
      <c r="I37" s="34">
        <f t="shared" si="7"/>
        <v>13</v>
      </c>
      <c r="J37" s="34" t="str">
        <f>IF('Final Project Dataset'!G37="Electronics","ELEC",IF('Final Project Dataset'!G37="Furniture","FURN",IF('Final Project Dataset'!G37="Appliances","APPL","")))</f>
        <v>APPL</v>
      </c>
      <c r="K37" s="34" t="str">
        <f>IF('Final Project Dataset'!K37="North","N",IF('Final Project Dataset'!K37="South","S",IF('Final Project Dataset'!K37="East","E",IF('Final Project Dataset'!K37="West","W",IF('Final Project Dataset'!K37="Central","C","")))))</f>
        <v>S</v>
      </c>
      <c r="L37" s="34" t="str">
        <f>IF('Final Project Dataset'!L37="Premium","PREM",IF('Final Project Dataset'!L37="Standard","STND",IF('Final Project Dataset'!L37="Basic","BASC","")))</f>
        <v>BASC</v>
      </c>
      <c r="M37" s="34" t="str">
        <f>IF('Final Project Dataset'!J37="Credit Card","CC",IF('Final Project Dataset'!J37="Debit Card","DC",IF('Final Project Dataset'!J37="PayPal","PP",IF('Final Project Dataset'!J37="Cash","CSH",""))))</f>
        <v>CSH</v>
      </c>
    </row>
    <row r="38" spans="1:13">
      <c r="A38" s="34" t="str">
        <f>'Final Project Dataset'!D38</f>
        <v>Steven Turner</v>
      </c>
      <c r="B38" s="34" t="str">
        <f t="shared" si="0"/>
        <v>Steven</v>
      </c>
      <c r="C38" s="34" t="str">
        <f t="shared" si="1"/>
        <v>Turner</v>
      </c>
      <c r="D38" s="34" t="str">
        <f t="shared" si="2"/>
        <v>S.T.</v>
      </c>
      <c r="E38" s="34" t="str">
        <f t="shared" si="3"/>
        <v>Steven T.</v>
      </c>
      <c r="F38" s="34" t="str">
        <f t="shared" si="4"/>
        <v>STEVEN TURNER</v>
      </c>
      <c r="G38" s="34" t="str">
        <f t="shared" si="5"/>
        <v>steven turner</v>
      </c>
      <c r="H38" s="34" t="str">
        <f t="shared" si="6"/>
        <v>Steven Turner</v>
      </c>
      <c r="I38" s="34">
        <f t="shared" si="7"/>
        <v>13</v>
      </c>
      <c r="J38" s="34" t="str">
        <f>IF('Final Project Dataset'!G38="Electronics","ELEC",IF('Final Project Dataset'!G38="Furniture","FURN",IF('Final Project Dataset'!G38="Appliances","APPL","")))</f>
        <v>FURN</v>
      </c>
      <c r="K38" s="34" t="str">
        <f>IF('Final Project Dataset'!K38="North","N",IF('Final Project Dataset'!K38="South","S",IF('Final Project Dataset'!K38="East","E",IF('Final Project Dataset'!K38="West","W",IF('Final Project Dataset'!K38="Central","C","")))))</f>
        <v>N</v>
      </c>
      <c r="L38" s="34" t="str">
        <f>IF('Final Project Dataset'!L38="Premium","PREM",IF('Final Project Dataset'!L38="Standard","STND",IF('Final Project Dataset'!L38="Basic","BASC","")))</f>
        <v>PREM</v>
      </c>
      <c r="M38" s="34" t="str">
        <f>IF('Final Project Dataset'!J38="Credit Card","CC",IF('Final Project Dataset'!J38="Debit Card","DC",IF('Final Project Dataset'!J38="PayPal","PP",IF('Final Project Dataset'!J38="Cash","CSH",""))))</f>
        <v>CC</v>
      </c>
    </row>
    <row r="39" spans="1:13">
      <c r="A39" s="34" t="str">
        <f>'Final Project Dataset'!D39</f>
        <v>Jennifer Taylor</v>
      </c>
      <c r="B39" s="34" t="str">
        <f t="shared" si="0"/>
        <v>Jennifer</v>
      </c>
      <c r="C39" s="34" t="str">
        <f t="shared" si="1"/>
        <v>Taylor</v>
      </c>
      <c r="D39" s="34" t="str">
        <f t="shared" si="2"/>
        <v>J.T.</v>
      </c>
      <c r="E39" s="34" t="str">
        <f t="shared" si="3"/>
        <v>Jennifer T.</v>
      </c>
      <c r="F39" s="34" t="str">
        <f t="shared" si="4"/>
        <v>JENNIFER TAYLOR</v>
      </c>
      <c r="G39" s="34" t="str">
        <f t="shared" si="5"/>
        <v>jennifer taylor</v>
      </c>
      <c r="H39" s="34" t="str">
        <f t="shared" si="6"/>
        <v>Jennifer Taylor</v>
      </c>
      <c r="I39" s="34">
        <f t="shared" si="7"/>
        <v>15</v>
      </c>
      <c r="J39" s="34" t="str">
        <f>IF('Final Project Dataset'!G39="Electronics","ELEC",IF('Final Project Dataset'!G39="Furniture","FURN",IF('Final Project Dataset'!G39="Appliances","APPL","")))</f>
        <v>ELEC</v>
      </c>
      <c r="K39" s="34" t="str">
        <f>IF('Final Project Dataset'!K39="North","N",IF('Final Project Dataset'!K39="South","S",IF('Final Project Dataset'!K39="East","E",IF('Final Project Dataset'!K39="West","W",IF('Final Project Dataset'!K39="Central","C","")))))</f>
        <v>W</v>
      </c>
      <c r="L39" s="34" t="str">
        <f>IF('Final Project Dataset'!L39="Premium","PREM",IF('Final Project Dataset'!L39="Standard","STND",IF('Final Project Dataset'!L39="Basic","BASC","")))</f>
        <v>STND</v>
      </c>
      <c r="M39" s="34" t="str">
        <f>IF('Final Project Dataset'!J39="Credit Card","CC",IF('Final Project Dataset'!J39="Debit Card","DC",IF('Final Project Dataset'!J39="PayPal","PP",IF('Final Project Dataset'!J39="Cash","CSH",""))))</f>
        <v>PP</v>
      </c>
    </row>
    <row r="40" spans="1:13">
      <c r="A40" s="34" t="str">
        <f>'Final Project Dataset'!D40</f>
        <v>Harry Morgan</v>
      </c>
      <c r="B40" s="34" t="str">
        <f t="shared" si="0"/>
        <v>Harry</v>
      </c>
      <c r="C40" s="34" t="str">
        <f t="shared" si="1"/>
        <v>Morgan</v>
      </c>
      <c r="D40" s="34" t="str">
        <f t="shared" si="2"/>
        <v>H.M.</v>
      </c>
      <c r="E40" s="34" t="str">
        <f t="shared" si="3"/>
        <v>Harry M.</v>
      </c>
      <c r="F40" s="34" t="str">
        <f t="shared" si="4"/>
        <v>HARRY MORGAN</v>
      </c>
      <c r="G40" s="34" t="str">
        <f t="shared" si="5"/>
        <v>harry morgan</v>
      </c>
      <c r="H40" s="34" t="str">
        <f t="shared" si="6"/>
        <v>Harry Morgan</v>
      </c>
      <c r="I40" s="34">
        <f t="shared" si="7"/>
        <v>12</v>
      </c>
      <c r="J40" s="34" t="str">
        <f>IF('Final Project Dataset'!G40="Electronics","ELEC",IF('Final Project Dataset'!G40="Furniture","FURN",IF('Final Project Dataset'!G40="Appliances","APPL","")))</f>
        <v>ELEC</v>
      </c>
      <c r="K40" s="34" t="str">
        <f>IF('Final Project Dataset'!K40="North","N",IF('Final Project Dataset'!K40="South","S",IF('Final Project Dataset'!K40="East","E",IF('Final Project Dataset'!K40="West","W",IF('Final Project Dataset'!K40="Central","C","")))))</f>
        <v>C</v>
      </c>
      <c r="L40" s="34" t="str">
        <f>IF('Final Project Dataset'!L40="Premium","PREM",IF('Final Project Dataset'!L40="Standard","STND",IF('Final Project Dataset'!L40="Basic","BASC","")))</f>
        <v>PREM</v>
      </c>
      <c r="M40" s="34" t="str">
        <f>IF('Final Project Dataset'!J40="Credit Card","CC",IF('Final Project Dataset'!J40="Debit Card","DC",IF('Final Project Dataset'!J40="PayPal","PP",IF('Final Project Dataset'!J40="Cash","CSH",""))))</f>
        <v>PP</v>
      </c>
    </row>
    <row r="41" spans="1:13">
      <c r="A41" s="34" t="str">
        <f>'Final Project Dataset'!D41</f>
        <v>Daniel King</v>
      </c>
      <c r="B41" s="34" t="str">
        <f t="shared" si="0"/>
        <v>Daniel</v>
      </c>
      <c r="C41" s="34" t="str">
        <f t="shared" si="1"/>
        <v>King</v>
      </c>
      <c r="D41" s="34" t="str">
        <f t="shared" si="2"/>
        <v>D.K.</v>
      </c>
      <c r="E41" s="34" t="str">
        <f t="shared" si="3"/>
        <v>Daniel K.</v>
      </c>
      <c r="F41" s="34" t="str">
        <f t="shared" si="4"/>
        <v>DANIEL KING</v>
      </c>
      <c r="G41" s="34" t="str">
        <f t="shared" si="5"/>
        <v>daniel king</v>
      </c>
      <c r="H41" s="34" t="str">
        <f t="shared" si="6"/>
        <v>Daniel King</v>
      </c>
      <c r="I41" s="34">
        <f t="shared" si="7"/>
        <v>11</v>
      </c>
      <c r="J41" s="34" t="str">
        <f>IF('Final Project Dataset'!G41="Electronics","ELEC",IF('Final Project Dataset'!G41="Furniture","FURN",IF('Final Project Dataset'!G41="Appliances","APPL","")))</f>
        <v>APPL</v>
      </c>
      <c r="K41" s="34" t="str">
        <f>IF('Final Project Dataset'!K41="North","N",IF('Final Project Dataset'!K41="South","S",IF('Final Project Dataset'!K41="East","E",IF('Final Project Dataset'!K41="West","W",IF('Final Project Dataset'!K41="Central","C","")))))</f>
        <v>N</v>
      </c>
      <c r="L41" s="34" t="str">
        <f>IF('Final Project Dataset'!L41="Premium","PREM",IF('Final Project Dataset'!L41="Standard","STND",IF('Final Project Dataset'!L41="Basic","BASC","")))</f>
        <v>STND</v>
      </c>
      <c r="M41" s="34" t="str">
        <f>IF('Final Project Dataset'!J41="Credit Card","CC",IF('Final Project Dataset'!J41="Debit Card","DC",IF('Final Project Dataset'!J41="PayPal","PP",IF('Final Project Dataset'!J41="Cash","CSH",""))))</f>
        <v>CSH</v>
      </c>
    </row>
    <row r="42" spans="1:13">
      <c r="A42" s="34" t="str">
        <f>'Final Project Dataset'!D42</f>
        <v>Sharon Butler</v>
      </c>
      <c r="B42" s="34" t="str">
        <f t="shared" si="0"/>
        <v>Sharon</v>
      </c>
      <c r="C42" s="34" t="str">
        <f t="shared" si="1"/>
        <v>Butler</v>
      </c>
      <c r="D42" s="34" t="str">
        <f t="shared" si="2"/>
        <v>S.B.</v>
      </c>
      <c r="E42" s="34" t="str">
        <f t="shared" si="3"/>
        <v>Sharon B.</v>
      </c>
      <c r="F42" s="34" t="str">
        <f t="shared" si="4"/>
        <v>SHARON BUTLER</v>
      </c>
      <c r="G42" s="34" t="str">
        <f t="shared" si="5"/>
        <v>sharon butler</v>
      </c>
      <c r="H42" s="34" t="str">
        <f t="shared" si="6"/>
        <v>Sharon Butler</v>
      </c>
      <c r="I42" s="34">
        <f t="shared" si="7"/>
        <v>13</v>
      </c>
      <c r="J42" s="34" t="str">
        <f>IF('Final Project Dataset'!G42="Electronics","ELEC",IF('Final Project Dataset'!G42="Furniture","FURN",IF('Final Project Dataset'!G42="Appliances","APPL","")))</f>
        <v>APPL</v>
      </c>
      <c r="K42" s="34" t="str">
        <f>IF('Final Project Dataset'!K42="North","N",IF('Final Project Dataset'!K42="South","S",IF('Final Project Dataset'!K42="East","E",IF('Final Project Dataset'!K42="West","W",IF('Final Project Dataset'!K42="Central","C","")))))</f>
        <v>W</v>
      </c>
      <c r="L42" s="34" t="str">
        <f>IF('Final Project Dataset'!L42="Premium","PREM",IF('Final Project Dataset'!L42="Standard","STND",IF('Final Project Dataset'!L42="Basic","BASC","")))</f>
        <v>BASC</v>
      </c>
      <c r="M42" s="34" t="str">
        <f>IF('Final Project Dataset'!J42="Credit Card","CC",IF('Final Project Dataset'!J42="Debit Card","DC",IF('Final Project Dataset'!J42="PayPal","PP",IF('Final Project Dataset'!J42="Cash","CSH",""))))</f>
        <v>CSH</v>
      </c>
    </row>
    <row r="43" spans="1:13">
      <c r="A43" s="34" t="str">
        <f>'Final Project Dataset'!D43</f>
        <v>Charles Allen</v>
      </c>
      <c r="B43" s="34" t="str">
        <f t="shared" si="0"/>
        <v>Charles</v>
      </c>
      <c r="C43" s="34" t="str">
        <f t="shared" si="1"/>
        <v>Allen</v>
      </c>
      <c r="D43" s="34" t="str">
        <f t="shared" si="2"/>
        <v>C.A.</v>
      </c>
      <c r="E43" s="34" t="str">
        <f t="shared" si="3"/>
        <v>Charles A.</v>
      </c>
      <c r="F43" s="34" t="str">
        <f t="shared" si="4"/>
        <v>CHARLES ALLEN</v>
      </c>
      <c r="G43" s="34" t="str">
        <f t="shared" si="5"/>
        <v>charles allen</v>
      </c>
      <c r="H43" s="34" t="str">
        <f t="shared" si="6"/>
        <v>Charles Allen</v>
      </c>
      <c r="I43" s="34">
        <f t="shared" si="7"/>
        <v>13</v>
      </c>
      <c r="J43" s="34" t="str">
        <f>IF('Final Project Dataset'!G43="Electronics","ELEC",IF('Final Project Dataset'!G43="Furniture","FURN",IF('Final Project Dataset'!G43="Appliances","APPL","")))</f>
        <v>ELEC</v>
      </c>
      <c r="K43" s="34" t="str">
        <f>IF('Final Project Dataset'!K43="North","N",IF('Final Project Dataset'!K43="South","S",IF('Final Project Dataset'!K43="East","E",IF('Final Project Dataset'!K43="West","W",IF('Final Project Dataset'!K43="Central","C","")))))</f>
        <v>N</v>
      </c>
      <c r="L43" s="34" t="str">
        <f>IF('Final Project Dataset'!L43="Premium","PREM",IF('Final Project Dataset'!L43="Standard","STND",IF('Final Project Dataset'!L43="Basic","BASC","")))</f>
        <v>BASC</v>
      </c>
      <c r="M43" s="34" t="str">
        <f>IF('Final Project Dataset'!J43="Credit Card","CC",IF('Final Project Dataset'!J43="Debit Card","DC",IF('Final Project Dataset'!J43="PayPal","PP",IF('Final Project Dataset'!J43="Cash","CSH",""))))</f>
        <v>CSH</v>
      </c>
    </row>
    <row r="44" spans="1:13">
      <c r="A44" s="34" t="str">
        <f>'Final Project Dataset'!D44</f>
        <v>Sarah Davis</v>
      </c>
      <c r="B44" s="34" t="str">
        <f t="shared" si="0"/>
        <v>Sarah</v>
      </c>
      <c r="C44" s="34" t="str">
        <f t="shared" si="1"/>
        <v>Davis</v>
      </c>
      <c r="D44" s="34" t="str">
        <f t="shared" si="2"/>
        <v>S.D.</v>
      </c>
      <c r="E44" s="34" t="str">
        <f t="shared" si="3"/>
        <v>Sarah D.</v>
      </c>
      <c r="F44" s="34" t="str">
        <f t="shared" si="4"/>
        <v>SARAH DAVIS</v>
      </c>
      <c r="G44" s="34" t="str">
        <f t="shared" si="5"/>
        <v>sarah davis</v>
      </c>
      <c r="H44" s="34" t="str">
        <f t="shared" si="6"/>
        <v>Sarah Davis</v>
      </c>
      <c r="I44" s="34">
        <f t="shared" si="7"/>
        <v>11</v>
      </c>
      <c r="J44" s="34" t="str">
        <f>IF('Final Project Dataset'!G44="Electronics","ELEC",IF('Final Project Dataset'!G44="Furniture","FURN",IF('Final Project Dataset'!G44="Appliances","APPL","")))</f>
        <v>ELEC</v>
      </c>
      <c r="K44" s="34" t="str">
        <f>IF('Final Project Dataset'!K44="North","N",IF('Final Project Dataset'!K44="South","S",IF('Final Project Dataset'!K44="East","E",IF('Final Project Dataset'!K44="West","W",IF('Final Project Dataset'!K44="Central","C","")))))</f>
        <v>E</v>
      </c>
      <c r="L44" s="34" t="str">
        <f>IF('Final Project Dataset'!L44="Premium","PREM",IF('Final Project Dataset'!L44="Standard","STND",IF('Final Project Dataset'!L44="Basic","BASC","")))</f>
        <v>STND</v>
      </c>
      <c r="M44" s="34" t="str">
        <f>IF('Final Project Dataset'!J44="Credit Card","CC",IF('Final Project Dataset'!J44="Debit Card","DC",IF('Final Project Dataset'!J44="PayPal","PP",IF('Final Project Dataset'!J44="Cash","CSH",""))))</f>
        <v>CC</v>
      </c>
    </row>
    <row r="45" spans="1:13">
      <c r="A45" s="34" t="str">
        <f>'Final Project Dataset'!D45</f>
        <v>Joseph Jackson</v>
      </c>
      <c r="B45" s="34" t="str">
        <f t="shared" si="0"/>
        <v>Joseph</v>
      </c>
      <c r="C45" s="34" t="str">
        <f t="shared" si="1"/>
        <v>Jackson</v>
      </c>
      <c r="D45" s="34" t="str">
        <f t="shared" si="2"/>
        <v>J.J.</v>
      </c>
      <c r="E45" s="34" t="str">
        <f t="shared" si="3"/>
        <v>Joseph J.</v>
      </c>
      <c r="F45" s="34" t="str">
        <f t="shared" si="4"/>
        <v>JOSEPH JACKSON</v>
      </c>
      <c r="G45" s="34" t="str">
        <f t="shared" si="5"/>
        <v>joseph jackson</v>
      </c>
      <c r="H45" s="34" t="str">
        <f t="shared" si="6"/>
        <v>Joseph Jackson</v>
      </c>
      <c r="I45" s="34">
        <f t="shared" si="7"/>
        <v>14</v>
      </c>
      <c r="J45" s="34" t="str">
        <f>IF('Final Project Dataset'!G45="Electronics","ELEC",IF('Final Project Dataset'!G45="Furniture","FURN",IF('Final Project Dataset'!G45="Appliances","APPL","")))</f>
        <v>ELEC</v>
      </c>
      <c r="K45" s="34" t="str">
        <f>IF('Final Project Dataset'!K45="North","N",IF('Final Project Dataset'!K45="South","S",IF('Final Project Dataset'!K45="East","E",IF('Final Project Dataset'!K45="West","W",IF('Final Project Dataset'!K45="Central","C","")))))</f>
        <v>E</v>
      </c>
      <c r="L45" s="34" t="str">
        <f>IF('Final Project Dataset'!L45="Premium","PREM",IF('Final Project Dataset'!L45="Standard","STND",IF('Final Project Dataset'!L45="Basic","BASC","")))</f>
        <v>STND</v>
      </c>
      <c r="M45" s="34" t="str">
        <f>IF('Final Project Dataset'!J45="Credit Card","CC",IF('Final Project Dataset'!J45="Debit Card","DC",IF('Final Project Dataset'!J45="PayPal","PP",IF('Final Project Dataset'!J45="Cash","CSH",""))))</f>
        <v>CC</v>
      </c>
    </row>
    <row r="46" spans="1:13">
      <c r="A46" s="34" t="str">
        <f>'Final Project Dataset'!D46</f>
        <v>Betty Campbell</v>
      </c>
      <c r="B46" s="34" t="str">
        <f t="shared" si="0"/>
        <v>Betty</v>
      </c>
      <c r="C46" s="34" t="str">
        <f t="shared" si="1"/>
        <v>Campbell</v>
      </c>
      <c r="D46" s="34" t="str">
        <f t="shared" si="2"/>
        <v>B.C.</v>
      </c>
      <c r="E46" s="34" t="str">
        <f t="shared" si="3"/>
        <v>Betty C.</v>
      </c>
      <c r="F46" s="34" t="str">
        <f t="shared" si="4"/>
        <v>BETTY CAMPBELL</v>
      </c>
      <c r="G46" s="34" t="str">
        <f t="shared" si="5"/>
        <v>betty campbell</v>
      </c>
      <c r="H46" s="34" t="str">
        <f t="shared" si="6"/>
        <v>Betty Campbell</v>
      </c>
      <c r="I46" s="34">
        <f t="shared" si="7"/>
        <v>14</v>
      </c>
      <c r="J46" s="34" t="str">
        <f>IF('Final Project Dataset'!G46="Electronics","ELEC",IF('Final Project Dataset'!G46="Furniture","FURN",IF('Final Project Dataset'!G46="Appliances","APPL","")))</f>
        <v>ELEC</v>
      </c>
      <c r="K46" s="34" t="str">
        <f>IF('Final Project Dataset'!K46="North","N",IF('Final Project Dataset'!K46="South","S",IF('Final Project Dataset'!K46="East","E",IF('Final Project Dataset'!K46="West","W",IF('Final Project Dataset'!K46="Central","C","")))))</f>
        <v>S</v>
      </c>
      <c r="L46" s="34" t="str">
        <f>IF('Final Project Dataset'!L46="Premium","PREM",IF('Final Project Dataset'!L46="Standard","STND",IF('Final Project Dataset'!L46="Basic","BASC","")))</f>
        <v>STND</v>
      </c>
      <c r="M46" s="34" t="str">
        <f>IF('Final Project Dataset'!J46="Credit Card","CC",IF('Final Project Dataset'!J46="Debit Card","DC",IF('Final Project Dataset'!J46="PayPal","PP",IF('Final Project Dataset'!J46="Cash","CSH",""))))</f>
        <v>CC</v>
      </c>
    </row>
    <row r="47" spans="1:13">
      <c r="A47" s="34" t="str">
        <f>'Final Project Dataset'!D47</f>
        <v>Michael Brown</v>
      </c>
      <c r="B47" s="34" t="str">
        <f t="shared" si="0"/>
        <v>Michael</v>
      </c>
      <c r="C47" s="34" t="str">
        <f t="shared" si="1"/>
        <v>Brown</v>
      </c>
      <c r="D47" s="34" t="str">
        <f t="shared" si="2"/>
        <v>M.B.</v>
      </c>
      <c r="E47" s="34" t="str">
        <f t="shared" si="3"/>
        <v>Michael B.</v>
      </c>
      <c r="F47" s="34" t="str">
        <f t="shared" si="4"/>
        <v>MICHAEL BROWN</v>
      </c>
      <c r="G47" s="34" t="str">
        <f t="shared" si="5"/>
        <v>michael brown</v>
      </c>
      <c r="H47" s="34" t="str">
        <f t="shared" si="6"/>
        <v>Michael Brown</v>
      </c>
      <c r="I47" s="34">
        <f t="shared" si="7"/>
        <v>13</v>
      </c>
      <c r="J47" s="34" t="str">
        <f>IF('Final Project Dataset'!G47="Electronics","ELEC",IF('Final Project Dataset'!G47="Furniture","FURN",IF('Final Project Dataset'!G47="Appliances","APPL","")))</f>
        <v>FURN</v>
      </c>
      <c r="K47" s="34" t="str">
        <f>IF('Final Project Dataset'!K47="North","N",IF('Final Project Dataset'!K47="South","S",IF('Final Project Dataset'!K47="East","E",IF('Final Project Dataset'!K47="West","W",IF('Final Project Dataset'!K47="Central","C","")))))</f>
        <v>E</v>
      </c>
      <c r="L47" s="34" t="str">
        <f>IF('Final Project Dataset'!L47="Premium","PREM",IF('Final Project Dataset'!L47="Standard","STND",IF('Final Project Dataset'!L47="Basic","BASC","")))</f>
        <v>PREM</v>
      </c>
      <c r="M47" s="34" t="str">
        <f>IF('Final Project Dataset'!J47="Credit Card","CC",IF('Final Project Dataset'!J47="Debit Card","DC",IF('Final Project Dataset'!J47="PayPal","PP",IF('Final Project Dataset'!J47="Cash","CSH",""))))</f>
        <v>CSH</v>
      </c>
    </row>
    <row r="48" spans="1:13">
      <c r="A48" s="34" t="str">
        <f>'Final Project Dataset'!D48</f>
        <v>Julie Foster</v>
      </c>
      <c r="B48" s="34" t="str">
        <f t="shared" si="0"/>
        <v>Julie</v>
      </c>
      <c r="C48" s="34" t="str">
        <f t="shared" si="1"/>
        <v>Foster</v>
      </c>
      <c r="D48" s="34" t="str">
        <f t="shared" si="2"/>
        <v>J.F.</v>
      </c>
      <c r="E48" s="34" t="str">
        <f t="shared" si="3"/>
        <v>Julie F.</v>
      </c>
      <c r="F48" s="34" t="str">
        <f t="shared" si="4"/>
        <v>JULIE FOSTER</v>
      </c>
      <c r="G48" s="34" t="str">
        <f t="shared" si="5"/>
        <v>julie foster</v>
      </c>
      <c r="H48" s="34" t="str">
        <f t="shared" si="6"/>
        <v>Julie Foster</v>
      </c>
      <c r="I48" s="34">
        <f t="shared" si="7"/>
        <v>12</v>
      </c>
      <c r="J48" s="34" t="str">
        <f>IF('Final Project Dataset'!G48="Electronics","ELEC",IF('Final Project Dataset'!G48="Furniture","FURN",IF('Final Project Dataset'!G48="Appliances","APPL","")))</f>
        <v>APPL</v>
      </c>
      <c r="K48" s="34" t="str">
        <f>IF('Final Project Dataset'!K48="North","N",IF('Final Project Dataset'!K48="South","S",IF('Final Project Dataset'!K48="East","E",IF('Final Project Dataset'!K48="West","W",IF('Final Project Dataset'!K48="Central","C","")))))</f>
        <v>E</v>
      </c>
      <c r="L48" s="34" t="str">
        <f>IF('Final Project Dataset'!L48="Premium","PREM",IF('Final Project Dataset'!L48="Standard","STND",IF('Final Project Dataset'!L48="Basic","BASC","")))</f>
        <v>STND</v>
      </c>
      <c r="M48" s="34" t="str">
        <f>IF('Final Project Dataset'!J48="Credit Card","CC",IF('Final Project Dataset'!J48="Debit Card","DC",IF('Final Project Dataset'!J48="PayPal","PP",IF('Final Project Dataset'!J48="Cash","CSH",""))))</f>
        <v>CSH</v>
      </c>
    </row>
    <row r="49" spans="1:13">
      <c r="A49" s="34" t="str">
        <f>'Final Project Dataset'!D49</f>
        <v>Lisa Anderson</v>
      </c>
      <c r="B49" s="34" t="str">
        <f t="shared" si="0"/>
        <v>Lisa</v>
      </c>
      <c r="C49" s="34" t="str">
        <f t="shared" si="1"/>
        <v>Anderson</v>
      </c>
      <c r="D49" s="34" t="str">
        <f t="shared" si="2"/>
        <v>L.A.</v>
      </c>
      <c r="E49" s="34" t="str">
        <f t="shared" si="3"/>
        <v>Lisa A.</v>
      </c>
      <c r="F49" s="34" t="str">
        <f t="shared" si="4"/>
        <v>LISA ANDERSON</v>
      </c>
      <c r="G49" s="34" t="str">
        <f t="shared" si="5"/>
        <v>lisa anderson</v>
      </c>
      <c r="H49" s="34" t="str">
        <f t="shared" si="6"/>
        <v>Lisa Anderson</v>
      </c>
      <c r="I49" s="34">
        <f t="shared" si="7"/>
        <v>13</v>
      </c>
      <c r="J49" s="34" t="str">
        <f>IF('Final Project Dataset'!G49="Electronics","ELEC",IF('Final Project Dataset'!G49="Furniture","FURN",IF('Final Project Dataset'!G49="Appliances","APPL","")))</f>
        <v>ELEC</v>
      </c>
      <c r="K49" s="34" t="str">
        <f>IF('Final Project Dataset'!K49="North","N",IF('Final Project Dataset'!K49="South","S",IF('Final Project Dataset'!K49="East","E",IF('Final Project Dataset'!K49="West","W",IF('Final Project Dataset'!K49="Central","C","")))))</f>
        <v>C</v>
      </c>
      <c r="L49" s="34" t="str">
        <f>IF('Final Project Dataset'!L49="Premium","PREM",IF('Final Project Dataset'!L49="Standard","STND",IF('Final Project Dataset'!L49="Basic","BASC","")))</f>
        <v>PREM</v>
      </c>
      <c r="M49" s="34" t="str">
        <f>IF('Final Project Dataset'!J49="Credit Card","CC",IF('Final Project Dataset'!J49="Debit Card","DC",IF('Final Project Dataset'!J49="PayPal","PP",IF('Final Project Dataset'!J49="Cash","CSH",""))))</f>
        <v>CSH</v>
      </c>
    </row>
    <row r="50" spans="1:13">
      <c r="A50" s="34" t="str">
        <f>'Final Project Dataset'!D50</f>
        <v>Patricia Moore</v>
      </c>
      <c r="B50" s="34" t="str">
        <f t="shared" si="0"/>
        <v>Patricia</v>
      </c>
      <c r="C50" s="34" t="str">
        <f t="shared" si="1"/>
        <v>Moore</v>
      </c>
      <c r="D50" s="34" t="str">
        <f t="shared" si="2"/>
        <v>P.M.</v>
      </c>
      <c r="E50" s="34" t="str">
        <f t="shared" si="3"/>
        <v>Patricia M.</v>
      </c>
      <c r="F50" s="34" t="str">
        <f t="shared" si="4"/>
        <v>PATRICIA MOORE</v>
      </c>
      <c r="G50" s="34" t="str">
        <f t="shared" si="5"/>
        <v>patricia moore</v>
      </c>
      <c r="H50" s="34" t="str">
        <f t="shared" si="6"/>
        <v>Patricia Moore</v>
      </c>
      <c r="I50" s="34">
        <f t="shared" si="7"/>
        <v>14</v>
      </c>
      <c r="J50" s="34" t="str">
        <f>IF('Final Project Dataset'!G50="Electronics","ELEC",IF('Final Project Dataset'!G50="Furniture","FURN",IF('Final Project Dataset'!G50="Appliances","APPL","")))</f>
        <v>ELEC</v>
      </c>
      <c r="K50" s="34" t="str">
        <f>IF('Final Project Dataset'!K50="North","N",IF('Final Project Dataset'!K50="South","S",IF('Final Project Dataset'!K50="East","E",IF('Final Project Dataset'!K50="West","W",IF('Final Project Dataset'!K50="Central","C","")))))</f>
        <v>S</v>
      </c>
      <c r="L50" s="34" t="str">
        <f>IF('Final Project Dataset'!L50="Premium","PREM",IF('Final Project Dataset'!L50="Standard","STND",IF('Final Project Dataset'!L50="Basic","BASC","")))</f>
        <v>PREM</v>
      </c>
      <c r="M50" s="34" t="str">
        <f>IF('Final Project Dataset'!J50="Credit Card","CC",IF('Final Project Dataset'!J50="Debit Card","DC",IF('Final Project Dataset'!J50="PayPal","PP",IF('Final Project Dataset'!J50="Cash","CSH",""))))</f>
        <v>CC</v>
      </c>
    </row>
    <row r="51" spans="1:13">
      <c r="A51" s="34" t="str">
        <f>'Final Project Dataset'!D51</f>
        <v>Paul Baker</v>
      </c>
      <c r="B51" s="34" t="str">
        <f t="shared" si="0"/>
        <v>Paul</v>
      </c>
      <c r="C51" s="34" t="str">
        <f t="shared" si="1"/>
        <v>Baker</v>
      </c>
      <c r="D51" s="34" t="str">
        <f t="shared" si="2"/>
        <v>P.B.</v>
      </c>
      <c r="E51" s="34" t="str">
        <f t="shared" si="3"/>
        <v>Paul B.</v>
      </c>
      <c r="F51" s="34" t="str">
        <f t="shared" si="4"/>
        <v>PAUL BAKER</v>
      </c>
      <c r="G51" s="34" t="str">
        <f t="shared" si="5"/>
        <v>paul baker</v>
      </c>
      <c r="H51" s="34" t="str">
        <f t="shared" si="6"/>
        <v>Paul Baker</v>
      </c>
      <c r="I51" s="34">
        <f t="shared" si="7"/>
        <v>10</v>
      </c>
      <c r="J51" s="34" t="str">
        <f>IF('Final Project Dataset'!G51="Electronics","ELEC",IF('Final Project Dataset'!G51="Furniture","FURN",IF('Final Project Dataset'!G51="Appliances","APPL","")))</f>
        <v>ELEC</v>
      </c>
      <c r="K51" s="34" t="str">
        <f>IF('Final Project Dataset'!K51="North","N",IF('Final Project Dataset'!K51="South","S",IF('Final Project Dataset'!K51="East","E",IF('Final Project Dataset'!K51="West","W",IF('Final Project Dataset'!K51="Central","C","")))))</f>
        <v>S</v>
      </c>
      <c r="L51" s="34" t="str">
        <f>IF('Final Project Dataset'!L51="Premium","PREM",IF('Final Project Dataset'!L51="Standard","STND",IF('Final Project Dataset'!L51="Basic","BASC","")))</f>
        <v>STND</v>
      </c>
      <c r="M51" s="34" t="str">
        <f>IF('Final Project Dataset'!J51="Credit Card","CC",IF('Final Project Dataset'!J51="Debit Card","DC",IF('Final Project Dataset'!J51="PayPal","PP",IF('Final Project Dataset'!J51="Cash","CSH",""))))</f>
        <v>CC</v>
      </c>
    </row>
    <row r="52" spans="1:13">
      <c r="A52" s="34" t="str">
        <f>'Final Project Dataset'!D52</f>
        <v>Edward Mitchell</v>
      </c>
      <c r="B52" s="34" t="str">
        <f t="shared" si="0"/>
        <v>Edward</v>
      </c>
      <c r="C52" s="34" t="str">
        <f t="shared" si="1"/>
        <v>Mitchell</v>
      </c>
      <c r="D52" s="34" t="str">
        <f t="shared" si="2"/>
        <v>E.M.</v>
      </c>
      <c r="E52" s="34" t="str">
        <f t="shared" si="3"/>
        <v>Edward M.</v>
      </c>
      <c r="F52" s="34" t="str">
        <f t="shared" si="4"/>
        <v>EDWARD MITCHELL</v>
      </c>
      <c r="G52" s="34" t="str">
        <f t="shared" si="5"/>
        <v>edward mitchell</v>
      </c>
      <c r="H52" s="34" t="str">
        <f t="shared" si="6"/>
        <v>Edward Mitchell</v>
      </c>
      <c r="I52" s="34">
        <f t="shared" si="7"/>
        <v>15</v>
      </c>
      <c r="J52" s="34" t="str">
        <f>IF('Final Project Dataset'!G52="Electronics","ELEC",IF('Final Project Dataset'!G52="Furniture","FURN",IF('Final Project Dataset'!G52="Appliances","APPL","")))</f>
        <v>ELEC</v>
      </c>
      <c r="K52" s="34" t="str">
        <f>IF('Final Project Dataset'!K52="North","N",IF('Final Project Dataset'!K52="South","S",IF('Final Project Dataset'!K52="East","E",IF('Final Project Dataset'!K52="West","W",IF('Final Project Dataset'!K52="Central","C","")))))</f>
        <v>E</v>
      </c>
      <c r="L52" s="34" t="str">
        <f>IF('Final Project Dataset'!L52="Premium","PREM",IF('Final Project Dataset'!L52="Standard","STND",IF('Final Project Dataset'!L52="Basic","BASC","")))</f>
        <v>PREM</v>
      </c>
      <c r="M52" s="34" t="str">
        <f>IF('Final Project Dataset'!J52="Credit Card","CC",IF('Final Project Dataset'!J52="Debit Card","DC",IF('Final Project Dataset'!J52="PayPal","PP",IF('Final Project Dataset'!J52="Cash","CSH",""))))</f>
        <v>PP</v>
      </c>
    </row>
    <row r="53" spans="1:13">
      <c r="A53" s="34" t="str">
        <f>'Final Project Dataset'!D53</f>
        <v>Betty Campbell</v>
      </c>
      <c r="B53" s="34" t="str">
        <f t="shared" si="0"/>
        <v>Betty</v>
      </c>
      <c r="C53" s="34" t="str">
        <f t="shared" si="1"/>
        <v>Campbell</v>
      </c>
      <c r="D53" s="34" t="str">
        <f t="shared" si="2"/>
        <v>B.C.</v>
      </c>
      <c r="E53" s="34" t="str">
        <f t="shared" si="3"/>
        <v>Betty C.</v>
      </c>
      <c r="F53" s="34" t="str">
        <f t="shared" si="4"/>
        <v>BETTY CAMPBELL</v>
      </c>
      <c r="G53" s="34" t="str">
        <f t="shared" si="5"/>
        <v>betty campbell</v>
      </c>
      <c r="H53" s="34" t="str">
        <f t="shared" si="6"/>
        <v>Betty Campbell</v>
      </c>
      <c r="I53" s="34">
        <f t="shared" si="7"/>
        <v>14</v>
      </c>
      <c r="J53" s="34" t="str">
        <f>IF('Final Project Dataset'!G53="Electronics","ELEC",IF('Final Project Dataset'!G53="Furniture","FURN",IF('Final Project Dataset'!G53="Appliances","APPL","")))</f>
        <v>APPL</v>
      </c>
      <c r="K53" s="34" t="str">
        <f>IF('Final Project Dataset'!K53="North","N",IF('Final Project Dataset'!K53="South","S",IF('Final Project Dataset'!K53="East","E",IF('Final Project Dataset'!K53="West","W",IF('Final Project Dataset'!K53="Central","C","")))))</f>
        <v>W</v>
      </c>
      <c r="L53" s="34" t="str">
        <f>IF('Final Project Dataset'!L53="Premium","PREM",IF('Final Project Dataset'!L53="Standard","STND",IF('Final Project Dataset'!L53="Basic","BASC","")))</f>
        <v>PREM</v>
      </c>
      <c r="M53" s="34" t="str">
        <f>IF('Final Project Dataset'!J53="Credit Card","CC",IF('Final Project Dataset'!J53="Debit Card","DC",IF('Final Project Dataset'!J53="PayPal","PP",IF('Final Project Dataset'!J53="Cash","CSH",""))))</f>
        <v>DC</v>
      </c>
    </row>
    <row r="54" spans="1:13">
      <c r="A54" s="34" t="str">
        <f>'Final Project Dataset'!D54</f>
        <v>Jennifer Taylor</v>
      </c>
      <c r="B54" s="34" t="str">
        <f t="shared" si="0"/>
        <v>Jennifer</v>
      </c>
      <c r="C54" s="34" t="str">
        <f t="shared" si="1"/>
        <v>Taylor</v>
      </c>
      <c r="D54" s="34" t="str">
        <f t="shared" si="2"/>
        <v>J.T.</v>
      </c>
      <c r="E54" s="34" t="str">
        <f t="shared" si="3"/>
        <v>Jennifer T.</v>
      </c>
      <c r="F54" s="34" t="str">
        <f t="shared" si="4"/>
        <v>JENNIFER TAYLOR</v>
      </c>
      <c r="G54" s="34" t="str">
        <f t="shared" si="5"/>
        <v>jennifer taylor</v>
      </c>
      <c r="H54" s="34" t="str">
        <f t="shared" si="6"/>
        <v>Jennifer Taylor</v>
      </c>
      <c r="I54" s="34">
        <f t="shared" si="7"/>
        <v>15</v>
      </c>
      <c r="J54" s="34" t="str">
        <f>IF('Final Project Dataset'!G54="Electronics","ELEC",IF('Final Project Dataset'!G54="Furniture","FURN",IF('Final Project Dataset'!G54="Appliances","APPL","")))</f>
        <v>FURN</v>
      </c>
      <c r="K54" s="34" t="str">
        <f>IF('Final Project Dataset'!K54="North","N",IF('Final Project Dataset'!K54="South","S",IF('Final Project Dataset'!K54="East","E",IF('Final Project Dataset'!K54="West","W",IF('Final Project Dataset'!K54="Central","C","")))))</f>
        <v>E</v>
      </c>
      <c r="L54" s="34" t="str">
        <f>IF('Final Project Dataset'!L54="Premium","PREM",IF('Final Project Dataset'!L54="Standard","STND",IF('Final Project Dataset'!L54="Basic","BASC","")))</f>
        <v>STND</v>
      </c>
      <c r="M54" s="34" t="str">
        <f>IF('Final Project Dataset'!J54="Credit Card","CC",IF('Final Project Dataset'!J54="Debit Card","DC",IF('Final Project Dataset'!J54="PayPal","PP",IF('Final Project Dataset'!J54="Cash","CSH",""))))</f>
        <v>DC</v>
      </c>
    </row>
    <row r="55" spans="1:13">
      <c r="A55" s="34" t="str">
        <f>'Final Project Dataset'!D55</f>
        <v>Raymond Ross</v>
      </c>
      <c r="B55" s="34" t="str">
        <f t="shared" si="0"/>
        <v>Raymond</v>
      </c>
      <c r="C55" s="34" t="str">
        <f t="shared" si="1"/>
        <v>Ross</v>
      </c>
      <c r="D55" s="34" t="str">
        <f t="shared" si="2"/>
        <v>R.R.</v>
      </c>
      <c r="E55" s="34" t="str">
        <f t="shared" si="3"/>
        <v>Raymond R.</v>
      </c>
      <c r="F55" s="34" t="str">
        <f t="shared" si="4"/>
        <v>RAYMOND ROSS</v>
      </c>
      <c r="G55" s="34" t="str">
        <f t="shared" si="5"/>
        <v>raymond ross</v>
      </c>
      <c r="H55" s="34" t="str">
        <f t="shared" si="6"/>
        <v>Raymond Ross</v>
      </c>
      <c r="I55" s="34">
        <f t="shared" si="7"/>
        <v>12</v>
      </c>
      <c r="J55" s="34" t="str">
        <f>IF('Final Project Dataset'!G55="Electronics","ELEC",IF('Final Project Dataset'!G55="Furniture","FURN",IF('Final Project Dataset'!G55="Appliances","APPL","")))</f>
        <v>ELEC</v>
      </c>
      <c r="K55" s="34" t="str">
        <f>IF('Final Project Dataset'!K55="North","N",IF('Final Project Dataset'!K55="South","S",IF('Final Project Dataset'!K55="East","E",IF('Final Project Dataset'!K55="West","W",IF('Final Project Dataset'!K55="Central","C","")))))</f>
        <v>S</v>
      </c>
      <c r="L55" s="34" t="str">
        <f>IF('Final Project Dataset'!L55="Premium","PREM",IF('Final Project Dataset'!L55="Standard","STND",IF('Final Project Dataset'!L55="Basic","BASC","")))</f>
        <v>BASC</v>
      </c>
      <c r="M55" s="34" t="str">
        <f>IF('Final Project Dataset'!J55="Credit Card","CC",IF('Final Project Dataset'!J55="Debit Card","DC",IF('Final Project Dataset'!J55="PayPal","PP",IF('Final Project Dataset'!J55="Cash","CSH",""))))</f>
        <v>DC</v>
      </c>
    </row>
    <row r="56" spans="1:13">
      <c r="A56" s="34" t="str">
        <f>'Final Project Dataset'!D56</f>
        <v>Kevin Scott</v>
      </c>
      <c r="B56" s="34" t="str">
        <f t="shared" si="0"/>
        <v>Kevin</v>
      </c>
      <c r="C56" s="34" t="str">
        <f t="shared" si="1"/>
        <v>Scott</v>
      </c>
      <c r="D56" s="34" t="str">
        <f t="shared" si="2"/>
        <v>K.S.</v>
      </c>
      <c r="E56" s="34" t="str">
        <f t="shared" si="3"/>
        <v>Kevin S.</v>
      </c>
      <c r="F56" s="34" t="str">
        <f t="shared" si="4"/>
        <v>KEVIN SCOTT</v>
      </c>
      <c r="G56" s="34" t="str">
        <f t="shared" si="5"/>
        <v>kevin scott</v>
      </c>
      <c r="H56" s="34" t="str">
        <f t="shared" si="6"/>
        <v>Kevin Scott</v>
      </c>
      <c r="I56" s="34">
        <f t="shared" si="7"/>
        <v>11</v>
      </c>
      <c r="J56" s="34" t="str">
        <f>IF('Final Project Dataset'!G56="Electronics","ELEC",IF('Final Project Dataset'!G56="Furniture","FURN",IF('Final Project Dataset'!G56="Appliances","APPL","")))</f>
        <v>APPL</v>
      </c>
      <c r="K56" s="34" t="str">
        <f>IF('Final Project Dataset'!K56="North","N",IF('Final Project Dataset'!K56="South","S",IF('Final Project Dataset'!K56="East","E",IF('Final Project Dataset'!K56="West","W",IF('Final Project Dataset'!K56="Central","C","")))))</f>
        <v>C</v>
      </c>
      <c r="L56" s="34" t="str">
        <f>IF('Final Project Dataset'!L56="Premium","PREM",IF('Final Project Dataset'!L56="Standard","STND",IF('Final Project Dataset'!L56="Basic","BASC","")))</f>
        <v>PREM</v>
      </c>
      <c r="M56" s="34" t="str">
        <f>IF('Final Project Dataset'!J56="Credit Card","CC",IF('Final Project Dataset'!J56="Debit Card","DC",IF('Final Project Dataset'!J56="PayPal","PP",IF('Final Project Dataset'!J56="Cash","CSH",""))))</f>
        <v>PP</v>
      </c>
    </row>
    <row r="57" spans="1:13">
      <c r="A57" s="34" t="str">
        <f>'Final Project Dataset'!D57</f>
        <v>Robert Thomas</v>
      </c>
      <c r="B57" s="34" t="str">
        <f t="shared" si="0"/>
        <v>Robert</v>
      </c>
      <c r="C57" s="34" t="str">
        <f t="shared" si="1"/>
        <v>Thomas</v>
      </c>
      <c r="D57" s="34" t="str">
        <f t="shared" si="2"/>
        <v>R.T.</v>
      </c>
      <c r="E57" s="34" t="str">
        <f t="shared" si="3"/>
        <v>Robert T.</v>
      </c>
      <c r="F57" s="34" t="str">
        <f t="shared" si="4"/>
        <v>ROBERT THOMAS</v>
      </c>
      <c r="G57" s="34" t="str">
        <f t="shared" si="5"/>
        <v>robert thomas</v>
      </c>
      <c r="H57" s="34" t="str">
        <f t="shared" si="6"/>
        <v>Robert Thomas</v>
      </c>
      <c r="I57" s="34">
        <f t="shared" si="7"/>
        <v>13</v>
      </c>
      <c r="J57" s="34" t="str">
        <f>IF('Final Project Dataset'!G57="Electronics","ELEC",IF('Final Project Dataset'!G57="Furniture","FURN",IF('Final Project Dataset'!G57="Appliances","APPL","")))</f>
        <v>ELEC</v>
      </c>
      <c r="K57" s="34" t="str">
        <f>IF('Final Project Dataset'!K57="North","N",IF('Final Project Dataset'!K57="South","S",IF('Final Project Dataset'!K57="East","E",IF('Final Project Dataset'!K57="West","W",IF('Final Project Dataset'!K57="Central","C","")))))</f>
        <v>W</v>
      </c>
      <c r="L57" s="34" t="str">
        <f>IF('Final Project Dataset'!L57="Premium","PREM",IF('Final Project Dataset'!L57="Standard","STND",IF('Final Project Dataset'!L57="Basic","BASC","")))</f>
        <v>BASC</v>
      </c>
      <c r="M57" s="34" t="str">
        <f>IF('Final Project Dataset'!J57="Credit Card","CC",IF('Final Project Dataset'!J57="Debit Card","DC",IF('Final Project Dataset'!J57="PayPal","PP",IF('Final Project Dataset'!J57="Cash","CSH",""))))</f>
        <v>CSH</v>
      </c>
    </row>
    <row r="58" spans="1:13">
      <c r="A58" s="34" t="str">
        <f>'Final Project Dataset'!D58</f>
        <v>Kathleen Bennett</v>
      </c>
      <c r="B58" s="34" t="str">
        <f t="shared" si="0"/>
        <v>Kathleen</v>
      </c>
      <c r="C58" s="34" t="str">
        <f t="shared" si="1"/>
        <v>Bennett</v>
      </c>
      <c r="D58" s="34" t="str">
        <f t="shared" si="2"/>
        <v>K.B.</v>
      </c>
      <c r="E58" s="34" t="str">
        <f t="shared" si="3"/>
        <v>Kathleen B.</v>
      </c>
      <c r="F58" s="34" t="str">
        <f t="shared" si="4"/>
        <v>KATHLEEN BENNETT</v>
      </c>
      <c r="G58" s="34" t="str">
        <f t="shared" si="5"/>
        <v>kathleen bennett</v>
      </c>
      <c r="H58" s="34" t="str">
        <f t="shared" si="6"/>
        <v>Kathleen Bennett</v>
      </c>
      <c r="I58" s="34">
        <f t="shared" si="7"/>
        <v>16</v>
      </c>
      <c r="J58" s="34" t="str">
        <f>IF('Final Project Dataset'!G58="Electronics","ELEC",IF('Final Project Dataset'!G58="Furniture","FURN",IF('Final Project Dataset'!G58="Appliances","APPL","")))</f>
        <v>ELEC</v>
      </c>
      <c r="K58" s="34" t="str">
        <f>IF('Final Project Dataset'!K58="North","N",IF('Final Project Dataset'!K58="South","S",IF('Final Project Dataset'!K58="East","E",IF('Final Project Dataset'!K58="West","W",IF('Final Project Dataset'!K58="Central","C","")))))</f>
        <v>E</v>
      </c>
      <c r="L58" s="34" t="str">
        <f>IF('Final Project Dataset'!L58="Premium","PREM",IF('Final Project Dataset'!L58="Standard","STND",IF('Final Project Dataset'!L58="Basic","BASC","")))</f>
        <v>PREM</v>
      </c>
      <c r="M58" s="34" t="str">
        <f>IF('Final Project Dataset'!J58="Credit Card","CC",IF('Final Project Dataset'!J58="Debit Card","DC",IF('Final Project Dataset'!J58="PayPal","PP",IF('Final Project Dataset'!J58="Cash","CSH",""))))</f>
        <v>CC</v>
      </c>
    </row>
    <row r="59" spans="1:13">
      <c r="A59" s="34" t="str">
        <f>'Final Project Dataset'!D59</f>
        <v>Patricia Moore</v>
      </c>
      <c r="B59" s="34" t="str">
        <f t="shared" si="0"/>
        <v>Patricia</v>
      </c>
      <c r="C59" s="34" t="str">
        <f t="shared" si="1"/>
        <v>Moore</v>
      </c>
      <c r="D59" s="34" t="str">
        <f t="shared" si="2"/>
        <v>P.M.</v>
      </c>
      <c r="E59" s="34" t="str">
        <f t="shared" si="3"/>
        <v>Patricia M.</v>
      </c>
      <c r="F59" s="34" t="str">
        <f t="shared" si="4"/>
        <v>PATRICIA MOORE</v>
      </c>
      <c r="G59" s="34" t="str">
        <f t="shared" si="5"/>
        <v>patricia moore</v>
      </c>
      <c r="H59" s="34" t="str">
        <f t="shared" si="6"/>
        <v>Patricia Moore</v>
      </c>
      <c r="I59" s="34">
        <f t="shared" si="7"/>
        <v>14</v>
      </c>
      <c r="J59" s="34" t="str">
        <f>IF('Final Project Dataset'!G59="Electronics","ELEC",IF('Final Project Dataset'!G59="Furniture","FURN",IF('Final Project Dataset'!G59="Appliances","APPL","")))</f>
        <v>ELEC</v>
      </c>
      <c r="K59" s="34" t="str">
        <f>IF('Final Project Dataset'!K59="North","N",IF('Final Project Dataset'!K59="South","S",IF('Final Project Dataset'!K59="East","E",IF('Final Project Dataset'!K59="West","W",IF('Final Project Dataset'!K59="Central","C","")))))</f>
        <v>E</v>
      </c>
      <c r="L59" s="34" t="str">
        <f>IF('Final Project Dataset'!L59="Premium","PREM",IF('Final Project Dataset'!L59="Standard","STND",IF('Final Project Dataset'!L59="Basic","BASC","")))</f>
        <v>PREM</v>
      </c>
      <c r="M59" s="34" t="str">
        <f>IF('Final Project Dataset'!J59="Credit Card","CC",IF('Final Project Dataset'!J59="Debit Card","DC",IF('Final Project Dataset'!J59="PayPal","PP",IF('Final Project Dataset'!J59="Cash","CSH",""))))</f>
        <v>CC</v>
      </c>
    </row>
    <row r="60" spans="1:13">
      <c r="A60" s="34" t="str">
        <f>'Final Project Dataset'!D60</f>
        <v>Helen Roberts</v>
      </c>
      <c r="B60" s="34" t="str">
        <f t="shared" si="0"/>
        <v>Helen</v>
      </c>
      <c r="C60" s="34" t="str">
        <f t="shared" si="1"/>
        <v>Roberts</v>
      </c>
      <c r="D60" s="34" t="str">
        <f t="shared" si="2"/>
        <v>H.R.</v>
      </c>
      <c r="E60" s="34" t="str">
        <f t="shared" si="3"/>
        <v>Helen R.</v>
      </c>
      <c r="F60" s="34" t="str">
        <f t="shared" si="4"/>
        <v>HELEN ROBERTS</v>
      </c>
      <c r="G60" s="34" t="str">
        <f t="shared" si="5"/>
        <v>helen roberts</v>
      </c>
      <c r="H60" s="34" t="str">
        <f t="shared" si="6"/>
        <v>Helen Roberts</v>
      </c>
      <c r="I60" s="34">
        <f t="shared" si="7"/>
        <v>13</v>
      </c>
      <c r="J60" s="34" t="str">
        <f>IF('Final Project Dataset'!G60="Electronics","ELEC",IF('Final Project Dataset'!G60="Furniture","FURN",IF('Final Project Dataset'!G60="Appliances","APPL","")))</f>
        <v>FURN</v>
      </c>
      <c r="K60" s="34" t="str">
        <f>IF('Final Project Dataset'!K60="North","N",IF('Final Project Dataset'!K60="South","S",IF('Final Project Dataset'!K60="East","E",IF('Final Project Dataset'!K60="West","W",IF('Final Project Dataset'!K60="Central","C","")))))</f>
        <v>E</v>
      </c>
      <c r="L60" s="34" t="str">
        <f>IF('Final Project Dataset'!L60="Premium","PREM",IF('Final Project Dataset'!L60="Standard","STND",IF('Final Project Dataset'!L60="Basic","BASC","")))</f>
        <v>BASC</v>
      </c>
      <c r="M60" s="34" t="str">
        <f>IF('Final Project Dataset'!J60="Credit Card","CC",IF('Final Project Dataset'!J60="Debit Card","DC",IF('Final Project Dataset'!J60="PayPal","PP",IF('Final Project Dataset'!J60="Cash","CSH",""))))</f>
        <v>PP</v>
      </c>
    </row>
    <row r="61" spans="1:13">
      <c r="A61" s="34" t="str">
        <f>'Final Project Dataset'!D61</f>
        <v>Emma Wilson</v>
      </c>
      <c r="B61" s="34" t="str">
        <f t="shared" si="0"/>
        <v>Emma</v>
      </c>
      <c r="C61" s="34" t="str">
        <f t="shared" si="1"/>
        <v>Wilson</v>
      </c>
      <c r="D61" s="34" t="str">
        <f t="shared" si="2"/>
        <v>E.W.</v>
      </c>
      <c r="E61" s="34" t="str">
        <f t="shared" si="3"/>
        <v>Emma W.</v>
      </c>
      <c r="F61" s="34" t="str">
        <f t="shared" si="4"/>
        <v>EMMA WILSON</v>
      </c>
      <c r="G61" s="34" t="str">
        <f t="shared" si="5"/>
        <v>emma wilson</v>
      </c>
      <c r="H61" s="34" t="str">
        <f t="shared" si="6"/>
        <v>Emma Wilson</v>
      </c>
      <c r="I61" s="34">
        <f t="shared" si="7"/>
        <v>11</v>
      </c>
      <c r="J61" s="34" t="str">
        <f>IF('Final Project Dataset'!G61="Electronics","ELEC",IF('Final Project Dataset'!G61="Furniture","FURN",IF('Final Project Dataset'!G61="Appliances","APPL","")))</f>
        <v>ELEC</v>
      </c>
      <c r="K61" s="34" t="str">
        <f>IF('Final Project Dataset'!K61="North","N",IF('Final Project Dataset'!K61="South","S",IF('Final Project Dataset'!K61="East","E",IF('Final Project Dataset'!K61="West","W",IF('Final Project Dataset'!K61="Central","C","")))))</f>
        <v>C</v>
      </c>
      <c r="L61" s="34" t="str">
        <f>IF('Final Project Dataset'!L61="Premium","PREM",IF('Final Project Dataset'!L61="Standard","STND",IF('Final Project Dataset'!L61="Basic","BASC","")))</f>
        <v>PREM</v>
      </c>
      <c r="M61" s="34" t="str">
        <f>IF('Final Project Dataset'!J61="Credit Card","CC",IF('Final Project Dataset'!J61="Debit Card","DC",IF('Final Project Dataset'!J61="PayPal","PP",IF('Final Project Dataset'!J61="Cash","CSH",""))))</f>
        <v>PP</v>
      </c>
    </row>
    <row r="62" spans="1:13">
      <c r="A62" s="34" t="str">
        <f>'Final Project Dataset'!D62</f>
        <v>Charles Allen</v>
      </c>
      <c r="B62" s="34" t="str">
        <f t="shared" si="0"/>
        <v>Charles</v>
      </c>
      <c r="C62" s="34" t="str">
        <f t="shared" si="1"/>
        <v>Allen</v>
      </c>
      <c r="D62" s="34" t="str">
        <f t="shared" si="2"/>
        <v>C.A.</v>
      </c>
      <c r="E62" s="34" t="str">
        <f t="shared" si="3"/>
        <v>Charles A.</v>
      </c>
      <c r="F62" s="34" t="str">
        <f t="shared" si="4"/>
        <v>CHARLES ALLEN</v>
      </c>
      <c r="G62" s="34" t="str">
        <f t="shared" si="5"/>
        <v>charles allen</v>
      </c>
      <c r="H62" s="34" t="str">
        <f t="shared" si="6"/>
        <v>Charles Allen</v>
      </c>
      <c r="I62" s="34">
        <f t="shared" si="7"/>
        <v>13</v>
      </c>
      <c r="J62" s="34" t="str">
        <f>IF('Final Project Dataset'!G62="Electronics","ELEC",IF('Final Project Dataset'!G62="Furniture","FURN",IF('Final Project Dataset'!G62="Appliances","APPL","")))</f>
        <v>ELEC</v>
      </c>
      <c r="K62" s="34" t="str">
        <f>IF('Final Project Dataset'!K62="North","N",IF('Final Project Dataset'!K62="South","S",IF('Final Project Dataset'!K62="East","E",IF('Final Project Dataset'!K62="West","W",IF('Final Project Dataset'!K62="Central","C","")))))</f>
        <v>W</v>
      </c>
      <c r="L62" s="34" t="str">
        <f>IF('Final Project Dataset'!L62="Premium","PREM",IF('Final Project Dataset'!L62="Standard","STND",IF('Final Project Dataset'!L62="Basic","BASC","")))</f>
        <v>STND</v>
      </c>
      <c r="M62" s="34" t="str">
        <f>IF('Final Project Dataset'!J62="Credit Card","CC",IF('Final Project Dataset'!J62="Debit Card","DC",IF('Final Project Dataset'!J62="PayPal","PP",IF('Final Project Dataset'!J62="Cash","CSH",""))))</f>
        <v>PP</v>
      </c>
    </row>
    <row r="63" spans="1:13">
      <c r="A63" s="34" t="str">
        <f>'Final Project Dataset'!D63</f>
        <v>Susan Green</v>
      </c>
      <c r="B63" s="34" t="str">
        <f t="shared" si="0"/>
        <v>Susan</v>
      </c>
      <c r="C63" s="34" t="str">
        <f t="shared" si="1"/>
        <v>Green</v>
      </c>
      <c r="D63" s="34" t="str">
        <f t="shared" si="2"/>
        <v>S.G.</v>
      </c>
      <c r="E63" s="34" t="str">
        <f t="shared" si="3"/>
        <v>Susan G.</v>
      </c>
      <c r="F63" s="34" t="str">
        <f t="shared" si="4"/>
        <v>SUSAN GREEN</v>
      </c>
      <c r="G63" s="34" t="str">
        <f t="shared" si="5"/>
        <v>susan green</v>
      </c>
      <c r="H63" s="34" t="str">
        <f t="shared" si="6"/>
        <v>Susan Green</v>
      </c>
      <c r="I63" s="34">
        <f t="shared" si="7"/>
        <v>11</v>
      </c>
      <c r="J63" s="34" t="str">
        <f>IF('Final Project Dataset'!G63="Electronics","ELEC",IF('Final Project Dataset'!G63="Furniture","FURN",IF('Final Project Dataset'!G63="Appliances","APPL","")))</f>
        <v>ELEC</v>
      </c>
      <c r="K63" s="34" t="str">
        <f>IF('Final Project Dataset'!K63="North","N",IF('Final Project Dataset'!K63="South","S",IF('Final Project Dataset'!K63="East","E",IF('Final Project Dataset'!K63="West","W",IF('Final Project Dataset'!K63="Central","C","")))))</f>
        <v>S</v>
      </c>
      <c r="L63" s="34" t="str">
        <f>IF('Final Project Dataset'!L63="Premium","PREM",IF('Final Project Dataset'!L63="Standard","STND",IF('Final Project Dataset'!L63="Basic","BASC","")))</f>
        <v>STND</v>
      </c>
      <c r="M63" s="34" t="str">
        <f>IF('Final Project Dataset'!J63="Credit Card","CC",IF('Final Project Dataset'!J63="Debit Card","DC",IF('Final Project Dataset'!J63="PayPal","PP",IF('Final Project Dataset'!J63="Cash","CSH",""))))</f>
        <v>CSH</v>
      </c>
    </row>
    <row r="64" spans="1:13">
      <c r="A64" s="34" t="str">
        <f>'Final Project Dataset'!D64</f>
        <v>David Martinez</v>
      </c>
      <c r="B64" s="34" t="str">
        <f t="shared" si="0"/>
        <v>David</v>
      </c>
      <c r="C64" s="34" t="str">
        <f t="shared" si="1"/>
        <v>Martinez</v>
      </c>
      <c r="D64" s="34" t="str">
        <f t="shared" si="2"/>
        <v>D.M.</v>
      </c>
      <c r="E64" s="34" t="str">
        <f t="shared" si="3"/>
        <v>David M.</v>
      </c>
      <c r="F64" s="34" t="str">
        <f t="shared" si="4"/>
        <v>DAVID MARTINEZ</v>
      </c>
      <c r="G64" s="34" t="str">
        <f t="shared" si="5"/>
        <v>david martinez</v>
      </c>
      <c r="H64" s="34" t="str">
        <f t="shared" si="6"/>
        <v>David Martinez</v>
      </c>
      <c r="I64" s="34">
        <f t="shared" si="7"/>
        <v>14</v>
      </c>
      <c r="J64" s="34" t="str">
        <f>IF('Final Project Dataset'!G64="Electronics","ELEC",IF('Final Project Dataset'!G64="Furniture","FURN",IF('Final Project Dataset'!G64="Appliances","APPL","")))</f>
        <v>APPL</v>
      </c>
      <c r="K64" s="34" t="str">
        <f>IF('Final Project Dataset'!K64="North","N",IF('Final Project Dataset'!K64="South","S",IF('Final Project Dataset'!K64="East","E",IF('Final Project Dataset'!K64="West","W",IF('Final Project Dataset'!K64="Central","C","")))))</f>
        <v>C</v>
      </c>
      <c r="L64" s="34" t="str">
        <f>IF('Final Project Dataset'!L64="Premium","PREM",IF('Final Project Dataset'!L64="Standard","STND",IF('Final Project Dataset'!L64="Basic","BASC","")))</f>
        <v>BASC</v>
      </c>
      <c r="M64" s="34" t="str">
        <f>IF('Final Project Dataset'!J64="Credit Card","CC",IF('Final Project Dataset'!J64="Debit Card","DC",IF('Final Project Dataset'!J64="PayPal","PP",IF('Final Project Dataset'!J64="Cash","CSH",""))))</f>
        <v>DC</v>
      </c>
    </row>
    <row r="65" spans="1:13">
      <c r="A65" s="34" t="str">
        <f>'Final Project Dataset'!D65</f>
        <v>Margaret Wright</v>
      </c>
      <c r="B65" s="34" t="str">
        <f t="shared" si="0"/>
        <v>Margaret</v>
      </c>
      <c r="C65" s="34" t="str">
        <f t="shared" si="1"/>
        <v>Wright</v>
      </c>
      <c r="D65" s="34" t="str">
        <f t="shared" si="2"/>
        <v>M.W.</v>
      </c>
      <c r="E65" s="34" t="str">
        <f t="shared" si="3"/>
        <v>Margaret W.</v>
      </c>
      <c r="F65" s="34" t="str">
        <f t="shared" si="4"/>
        <v>MARGARET WRIGHT</v>
      </c>
      <c r="G65" s="34" t="str">
        <f t="shared" si="5"/>
        <v>margaret wright</v>
      </c>
      <c r="H65" s="34" t="str">
        <f t="shared" si="6"/>
        <v>Margaret Wright</v>
      </c>
      <c r="I65" s="34">
        <f t="shared" si="7"/>
        <v>15</v>
      </c>
      <c r="J65" s="34" t="str">
        <f>IF('Final Project Dataset'!G65="Electronics","ELEC",IF('Final Project Dataset'!G65="Furniture","FURN",IF('Final Project Dataset'!G65="Appliances","APPL","")))</f>
        <v>FURN</v>
      </c>
      <c r="K65" s="34" t="str">
        <f>IF('Final Project Dataset'!K65="North","N",IF('Final Project Dataset'!K65="South","S",IF('Final Project Dataset'!K65="East","E",IF('Final Project Dataset'!K65="West","W",IF('Final Project Dataset'!K65="Central","C","")))))</f>
        <v>N</v>
      </c>
      <c r="L65" s="34" t="str">
        <f>IF('Final Project Dataset'!L65="Premium","PREM",IF('Final Project Dataset'!L65="Standard","STND",IF('Final Project Dataset'!L65="Basic","BASC","")))</f>
        <v>BASC</v>
      </c>
      <c r="M65" s="34" t="str">
        <f>IF('Final Project Dataset'!J65="Credit Card","CC",IF('Final Project Dataset'!J65="Debit Card","DC",IF('Final Project Dataset'!J65="PayPal","PP",IF('Final Project Dataset'!J65="Cash","CSH",""))))</f>
        <v>PP</v>
      </c>
    </row>
    <row r="66" spans="1:13">
      <c r="A66" s="34" t="str">
        <f>'Final Project Dataset'!D66</f>
        <v>Michael Brown</v>
      </c>
      <c r="B66" s="34" t="str">
        <f t="shared" si="0"/>
        <v>Michael</v>
      </c>
      <c r="C66" s="34" t="str">
        <f t="shared" si="1"/>
        <v>Brown</v>
      </c>
      <c r="D66" s="34" t="str">
        <f t="shared" si="2"/>
        <v>M.B.</v>
      </c>
      <c r="E66" s="34" t="str">
        <f t="shared" si="3"/>
        <v>Michael B.</v>
      </c>
      <c r="F66" s="34" t="str">
        <f t="shared" si="4"/>
        <v>MICHAEL BROWN</v>
      </c>
      <c r="G66" s="34" t="str">
        <f t="shared" si="5"/>
        <v>michael brown</v>
      </c>
      <c r="H66" s="34" t="str">
        <f t="shared" si="6"/>
        <v>Michael Brown</v>
      </c>
      <c r="I66" s="34">
        <f t="shared" si="7"/>
        <v>13</v>
      </c>
      <c r="J66" s="34" t="str">
        <f>IF('Final Project Dataset'!G66="Electronics","ELEC",IF('Final Project Dataset'!G66="Furniture","FURN",IF('Final Project Dataset'!G66="Appliances","APPL","")))</f>
        <v>ELEC</v>
      </c>
      <c r="K66" s="34" t="str">
        <f>IF('Final Project Dataset'!K66="North","N",IF('Final Project Dataset'!K66="South","S",IF('Final Project Dataset'!K66="East","E",IF('Final Project Dataset'!K66="West","W",IF('Final Project Dataset'!K66="Central","C","")))))</f>
        <v>E</v>
      </c>
      <c r="L66" s="34" t="str">
        <f>IF('Final Project Dataset'!L66="Premium","PREM",IF('Final Project Dataset'!L66="Standard","STND",IF('Final Project Dataset'!L66="Basic","BASC","")))</f>
        <v>PREM</v>
      </c>
      <c r="M66" s="34" t="str">
        <f>IF('Final Project Dataset'!J66="Credit Card","CC",IF('Final Project Dataset'!J66="Debit Card","DC",IF('Final Project Dataset'!J66="PayPal","PP",IF('Final Project Dataset'!J66="Cash","CSH",""))))</f>
        <v>PP</v>
      </c>
    </row>
    <row r="67" spans="1:13">
      <c r="A67" s="34" t="str">
        <f>'Final Project Dataset'!D67</f>
        <v>Barbara Young</v>
      </c>
      <c r="B67" s="34" t="str">
        <f t="shared" ref="B67:B130" si="8">LEFT(A67,FIND(" ",A67)-1)</f>
        <v>Barbara</v>
      </c>
      <c r="C67" s="34" t="str">
        <f t="shared" ref="C67:C130" si="9">MID(A67,FIND(" ",A67)+1,LEN(A67))</f>
        <v>Young</v>
      </c>
      <c r="D67" s="34" t="str">
        <f t="shared" ref="D67:D130" si="10">LEFT(B67,1)&amp;"."&amp;LEFT(C67,1)&amp;"."</f>
        <v>B.Y.</v>
      </c>
      <c r="E67" s="34" t="str">
        <f t="shared" ref="E67:E130" si="11">B67&amp;" "&amp;LEFT(C67,1)&amp;"."</f>
        <v>Barbara Y.</v>
      </c>
      <c r="F67" s="34" t="str">
        <f t="shared" ref="F67:F130" si="12">UPPER(A67)</f>
        <v>BARBARA YOUNG</v>
      </c>
      <c r="G67" s="34" t="str">
        <f t="shared" ref="G67:G130" si="13">LOWER(A67)</f>
        <v>barbara young</v>
      </c>
      <c r="H67" s="34" t="str">
        <f t="shared" ref="H67:H130" si="14">PROPER(A67)</f>
        <v>Barbara Young</v>
      </c>
      <c r="I67" s="34">
        <f t="shared" ref="I67:I130" si="15">LEN(A67)</f>
        <v>13</v>
      </c>
      <c r="J67" s="34" t="str">
        <f>IF('Final Project Dataset'!G67="Electronics","ELEC",IF('Final Project Dataset'!G67="Furniture","FURN",IF('Final Project Dataset'!G67="Appliances","APPL","")))</f>
        <v>ELEC</v>
      </c>
      <c r="K67" s="34" t="str">
        <f>IF('Final Project Dataset'!K67="North","N",IF('Final Project Dataset'!K67="South","S",IF('Final Project Dataset'!K67="East","E",IF('Final Project Dataset'!K67="West","W",IF('Final Project Dataset'!K67="Central","C","")))))</f>
        <v>N</v>
      </c>
      <c r="L67" s="34" t="str">
        <f>IF('Final Project Dataset'!L67="Premium","PREM",IF('Final Project Dataset'!L67="Standard","STND",IF('Final Project Dataset'!L67="Basic","BASC","")))</f>
        <v>PREM</v>
      </c>
      <c r="M67" s="34" t="str">
        <f>IF('Final Project Dataset'!J67="Credit Card","CC",IF('Final Project Dataset'!J67="Debit Card","DC",IF('Final Project Dataset'!J67="PayPal","PP",IF('Final Project Dataset'!J67="Cash","CSH",""))))</f>
        <v>DC</v>
      </c>
    </row>
    <row r="68" spans="1:13">
      <c r="A68" s="34" t="str">
        <f>'Final Project Dataset'!D68</f>
        <v>Raymond Ross</v>
      </c>
      <c r="B68" s="34" t="str">
        <f t="shared" si="8"/>
        <v>Raymond</v>
      </c>
      <c r="C68" s="34" t="str">
        <f t="shared" si="9"/>
        <v>Ross</v>
      </c>
      <c r="D68" s="34" t="str">
        <f t="shared" si="10"/>
        <v>R.R.</v>
      </c>
      <c r="E68" s="34" t="str">
        <f t="shared" si="11"/>
        <v>Raymond R.</v>
      </c>
      <c r="F68" s="34" t="str">
        <f t="shared" si="12"/>
        <v>RAYMOND ROSS</v>
      </c>
      <c r="G68" s="34" t="str">
        <f t="shared" si="13"/>
        <v>raymond ross</v>
      </c>
      <c r="H68" s="34" t="str">
        <f t="shared" si="14"/>
        <v>Raymond Ross</v>
      </c>
      <c r="I68" s="34">
        <f t="shared" si="15"/>
        <v>12</v>
      </c>
      <c r="J68" s="34" t="str">
        <f>IF('Final Project Dataset'!G68="Electronics","ELEC",IF('Final Project Dataset'!G68="Furniture","FURN",IF('Final Project Dataset'!G68="Appliances","APPL","")))</f>
        <v>APPL</v>
      </c>
      <c r="K68" s="34" t="str">
        <f>IF('Final Project Dataset'!K68="North","N",IF('Final Project Dataset'!K68="South","S",IF('Final Project Dataset'!K68="East","E",IF('Final Project Dataset'!K68="West","W",IF('Final Project Dataset'!K68="Central","C","")))))</f>
        <v>S</v>
      </c>
      <c r="L68" s="34" t="str">
        <f>IF('Final Project Dataset'!L68="Premium","PREM",IF('Final Project Dataset'!L68="Standard","STND",IF('Final Project Dataset'!L68="Basic","BASC","")))</f>
        <v>STND</v>
      </c>
      <c r="M68" s="34" t="str">
        <f>IF('Final Project Dataset'!J68="Credit Card","CC",IF('Final Project Dataset'!J68="Debit Card","DC",IF('Final Project Dataset'!J68="PayPal","PP",IF('Final Project Dataset'!J68="Cash","CSH",""))))</f>
        <v>CSH</v>
      </c>
    </row>
    <row r="69" spans="1:13">
      <c r="A69" s="34" t="str">
        <f>'Final Project Dataset'!D69</f>
        <v>Joseph Jackson</v>
      </c>
      <c r="B69" s="34" t="str">
        <f t="shared" si="8"/>
        <v>Joseph</v>
      </c>
      <c r="C69" s="34" t="str">
        <f t="shared" si="9"/>
        <v>Jackson</v>
      </c>
      <c r="D69" s="34" t="str">
        <f t="shared" si="10"/>
        <v>J.J.</v>
      </c>
      <c r="E69" s="34" t="str">
        <f t="shared" si="11"/>
        <v>Joseph J.</v>
      </c>
      <c r="F69" s="34" t="str">
        <f t="shared" si="12"/>
        <v>JOSEPH JACKSON</v>
      </c>
      <c r="G69" s="34" t="str">
        <f t="shared" si="13"/>
        <v>joseph jackson</v>
      </c>
      <c r="H69" s="34" t="str">
        <f t="shared" si="14"/>
        <v>Joseph Jackson</v>
      </c>
      <c r="I69" s="34">
        <f t="shared" si="15"/>
        <v>14</v>
      </c>
      <c r="J69" s="34" t="str">
        <f>IF('Final Project Dataset'!G69="Electronics","ELEC",IF('Final Project Dataset'!G69="Furniture","FURN",IF('Final Project Dataset'!G69="Appliances","APPL","")))</f>
        <v>ELEC</v>
      </c>
      <c r="K69" s="34" t="str">
        <f>IF('Final Project Dataset'!K69="North","N",IF('Final Project Dataset'!K69="South","S",IF('Final Project Dataset'!K69="East","E",IF('Final Project Dataset'!K69="West","W",IF('Final Project Dataset'!K69="Central","C","")))))</f>
        <v>C</v>
      </c>
      <c r="L69" s="34" t="str">
        <f>IF('Final Project Dataset'!L69="Premium","PREM",IF('Final Project Dataset'!L69="Standard","STND",IF('Final Project Dataset'!L69="Basic","BASC","")))</f>
        <v>STND</v>
      </c>
      <c r="M69" s="34" t="str">
        <f>IF('Final Project Dataset'!J69="Credit Card","CC",IF('Final Project Dataset'!J69="Debit Card","DC",IF('Final Project Dataset'!J69="PayPal","PP",IF('Final Project Dataset'!J69="Cash","CSH",""))))</f>
        <v>CSH</v>
      </c>
    </row>
    <row r="70" spans="1:13">
      <c r="A70" s="34" t="str">
        <f>'Final Project Dataset'!D70</f>
        <v>Frank Torres</v>
      </c>
      <c r="B70" s="34" t="str">
        <f t="shared" si="8"/>
        <v>Frank</v>
      </c>
      <c r="C70" s="34" t="str">
        <f t="shared" si="9"/>
        <v>Torres</v>
      </c>
      <c r="D70" s="34" t="str">
        <f t="shared" si="10"/>
        <v>F.T.</v>
      </c>
      <c r="E70" s="34" t="str">
        <f t="shared" si="11"/>
        <v>Frank T.</v>
      </c>
      <c r="F70" s="34" t="str">
        <f t="shared" si="12"/>
        <v>FRANK TORRES</v>
      </c>
      <c r="G70" s="34" t="str">
        <f t="shared" si="13"/>
        <v>frank torres</v>
      </c>
      <c r="H70" s="34" t="str">
        <f t="shared" si="14"/>
        <v>Frank Torres</v>
      </c>
      <c r="I70" s="34">
        <f t="shared" si="15"/>
        <v>12</v>
      </c>
      <c r="J70" s="34" t="str">
        <f>IF('Final Project Dataset'!G70="Electronics","ELEC",IF('Final Project Dataset'!G70="Furniture","FURN",IF('Final Project Dataset'!G70="Appliances","APPL","")))</f>
        <v>FURN</v>
      </c>
      <c r="K70" s="34" t="str">
        <f>IF('Final Project Dataset'!K70="North","N",IF('Final Project Dataset'!K70="South","S",IF('Final Project Dataset'!K70="East","E",IF('Final Project Dataset'!K70="West","W",IF('Final Project Dataset'!K70="Central","C","")))))</f>
        <v>N</v>
      </c>
      <c r="L70" s="34" t="str">
        <f>IF('Final Project Dataset'!L70="Premium","PREM",IF('Final Project Dataset'!L70="Standard","STND",IF('Final Project Dataset'!L70="Basic","BASC","")))</f>
        <v>PREM</v>
      </c>
      <c r="M70" s="34" t="str">
        <f>IF('Final Project Dataset'!J70="Credit Card","CC",IF('Final Project Dataset'!J70="Debit Card","DC",IF('Final Project Dataset'!J70="PayPal","PP",IF('Final Project Dataset'!J70="Cash","CSH",""))))</f>
        <v>CC</v>
      </c>
    </row>
    <row r="71" spans="1:13">
      <c r="A71" s="34" t="str">
        <f>'Final Project Dataset'!D71</f>
        <v>Frank Torres</v>
      </c>
      <c r="B71" s="34" t="str">
        <f t="shared" si="8"/>
        <v>Frank</v>
      </c>
      <c r="C71" s="34" t="str">
        <f t="shared" si="9"/>
        <v>Torres</v>
      </c>
      <c r="D71" s="34" t="str">
        <f t="shared" si="10"/>
        <v>F.T.</v>
      </c>
      <c r="E71" s="34" t="str">
        <f t="shared" si="11"/>
        <v>Frank T.</v>
      </c>
      <c r="F71" s="34" t="str">
        <f t="shared" si="12"/>
        <v>FRANK TORRES</v>
      </c>
      <c r="G71" s="34" t="str">
        <f t="shared" si="13"/>
        <v>frank torres</v>
      </c>
      <c r="H71" s="34" t="str">
        <f t="shared" si="14"/>
        <v>Frank Torres</v>
      </c>
      <c r="I71" s="34">
        <f t="shared" si="15"/>
        <v>12</v>
      </c>
      <c r="J71" s="34" t="str">
        <f>IF('Final Project Dataset'!G71="Electronics","ELEC",IF('Final Project Dataset'!G71="Furniture","FURN",IF('Final Project Dataset'!G71="Appliances","APPL","")))</f>
        <v>FURN</v>
      </c>
      <c r="K71" s="34" t="str">
        <f>IF('Final Project Dataset'!K71="North","N",IF('Final Project Dataset'!K71="South","S",IF('Final Project Dataset'!K71="East","E",IF('Final Project Dataset'!K71="West","W",IF('Final Project Dataset'!K71="Central","C","")))))</f>
        <v>N</v>
      </c>
      <c r="L71" s="34" t="str">
        <f>IF('Final Project Dataset'!L71="Premium","PREM",IF('Final Project Dataset'!L71="Standard","STND",IF('Final Project Dataset'!L71="Basic","BASC","")))</f>
        <v>BASC</v>
      </c>
      <c r="M71" s="34" t="str">
        <f>IF('Final Project Dataset'!J71="Credit Card","CC",IF('Final Project Dataset'!J71="Debit Card","DC",IF('Final Project Dataset'!J71="PayPal","PP",IF('Final Project Dataset'!J71="Cash","CSH",""))))</f>
        <v>CSH</v>
      </c>
    </row>
    <row r="72" spans="1:13">
      <c r="A72" s="34" t="str">
        <f>'Final Project Dataset'!D72</f>
        <v>Gerald Murphy</v>
      </c>
      <c r="B72" s="34" t="str">
        <f t="shared" si="8"/>
        <v>Gerald</v>
      </c>
      <c r="C72" s="34" t="str">
        <f t="shared" si="9"/>
        <v>Murphy</v>
      </c>
      <c r="D72" s="34" t="str">
        <f t="shared" si="10"/>
        <v>G.M.</v>
      </c>
      <c r="E72" s="34" t="str">
        <f t="shared" si="11"/>
        <v>Gerald M.</v>
      </c>
      <c r="F72" s="34" t="str">
        <f t="shared" si="12"/>
        <v>GERALD MURPHY</v>
      </c>
      <c r="G72" s="34" t="str">
        <f t="shared" si="13"/>
        <v>gerald murphy</v>
      </c>
      <c r="H72" s="34" t="str">
        <f t="shared" si="14"/>
        <v>Gerald Murphy</v>
      </c>
      <c r="I72" s="34">
        <f t="shared" si="15"/>
        <v>13</v>
      </c>
      <c r="J72" s="34" t="str">
        <f>IF('Final Project Dataset'!G72="Electronics","ELEC",IF('Final Project Dataset'!G72="Furniture","FURN",IF('Final Project Dataset'!G72="Appliances","APPL","")))</f>
        <v>APPL</v>
      </c>
      <c r="K72" s="34" t="str">
        <f>IF('Final Project Dataset'!K72="North","N",IF('Final Project Dataset'!K72="South","S",IF('Final Project Dataset'!K72="East","E",IF('Final Project Dataset'!K72="West","W",IF('Final Project Dataset'!K72="Central","C","")))))</f>
        <v>W</v>
      </c>
      <c r="L72" s="34" t="str">
        <f>IF('Final Project Dataset'!L72="Premium","PREM",IF('Final Project Dataset'!L72="Standard","STND",IF('Final Project Dataset'!L72="Basic","BASC","")))</f>
        <v>BASC</v>
      </c>
      <c r="M72" s="34" t="str">
        <f>IF('Final Project Dataset'!J72="Credit Card","CC",IF('Final Project Dataset'!J72="Debit Card","DC",IF('Final Project Dataset'!J72="PayPal","PP",IF('Final Project Dataset'!J72="Cash","CSH",""))))</f>
        <v>CC</v>
      </c>
    </row>
    <row r="73" spans="1:13">
      <c r="A73" s="34" t="str">
        <f>'Final Project Dataset'!D73</f>
        <v>Peter Richardson</v>
      </c>
      <c r="B73" s="34" t="str">
        <f t="shared" si="8"/>
        <v>Peter</v>
      </c>
      <c r="C73" s="34" t="str">
        <f t="shared" si="9"/>
        <v>Richardson</v>
      </c>
      <c r="D73" s="34" t="str">
        <f t="shared" si="10"/>
        <v>P.R.</v>
      </c>
      <c r="E73" s="34" t="str">
        <f t="shared" si="11"/>
        <v>Peter R.</v>
      </c>
      <c r="F73" s="34" t="str">
        <f t="shared" si="12"/>
        <v>PETER RICHARDSON</v>
      </c>
      <c r="G73" s="34" t="str">
        <f t="shared" si="13"/>
        <v>peter richardson</v>
      </c>
      <c r="H73" s="34" t="str">
        <f t="shared" si="14"/>
        <v>Peter Richardson</v>
      </c>
      <c r="I73" s="34">
        <f t="shared" si="15"/>
        <v>16</v>
      </c>
      <c r="J73" s="34" t="str">
        <f>IF('Final Project Dataset'!G73="Electronics","ELEC",IF('Final Project Dataset'!G73="Furniture","FURN",IF('Final Project Dataset'!G73="Appliances","APPL","")))</f>
        <v>FURN</v>
      </c>
      <c r="K73" s="34" t="str">
        <f>IF('Final Project Dataset'!K73="North","N",IF('Final Project Dataset'!K73="South","S",IF('Final Project Dataset'!K73="East","E",IF('Final Project Dataset'!K73="West","W",IF('Final Project Dataset'!K73="Central","C","")))))</f>
        <v>C</v>
      </c>
      <c r="L73" s="34" t="str">
        <f>IF('Final Project Dataset'!L73="Premium","PREM",IF('Final Project Dataset'!L73="Standard","STND",IF('Final Project Dataset'!L73="Basic","BASC","")))</f>
        <v>PREM</v>
      </c>
      <c r="M73" s="34" t="str">
        <f>IF('Final Project Dataset'!J73="Credit Card","CC",IF('Final Project Dataset'!J73="Debit Card","DC",IF('Final Project Dataset'!J73="PayPal","PP",IF('Final Project Dataset'!J73="Cash","CSH",""))))</f>
        <v>CSH</v>
      </c>
    </row>
    <row r="74" spans="1:13">
      <c r="A74" s="34" t="str">
        <f>'Final Project Dataset'!D74</f>
        <v>Karen Hill</v>
      </c>
      <c r="B74" s="34" t="str">
        <f t="shared" si="8"/>
        <v>Karen</v>
      </c>
      <c r="C74" s="34" t="str">
        <f t="shared" si="9"/>
        <v>Hill</v>
      </c>
      <c r="D74" s="34" t="str">
        <f t="shared" si="10"/>
        <v>K.H.</v>
      </c>
      <c r="E74" s="34" t="str">
        <f t="shared" si="11"/>
        <v>Karen H.</v>
      </c>
      <c r="F74" s="34" t="str">
        <f t="shared" si="12"/>
        <v>KAREN HILL</v>
      </c>
      <c r="G74" s="34" t="str">
        <f t="shared" si="13"/>
        <v>karen hill</v>
      </c>
      <c r="H74" s="34" t="str">
        <f t="shared" si="14"/>
        <v>Karen Hill</v>
      </c>
      <c r="I74" s="34">
        <f t="shared" si="15"/>
        <v>10</v>
      </c>
      <c r="J74" s="34" t="str">
        <f>IF('Final Project Dataset'!G74="Electronics","ELEC",IF('Final Project Dataset'!G74="Furniture","FURN",IF('Final Project Dataset'!G74="Appliances","APPL","")))</f>
        <v>FURN</v>
      </c>
      <c r="K74" s="34" t="str">
        <f>IF('Final Project Dataset'!K74="North","N",IF('Final Project Dataset'!K74="South","S",IF('Final Project Dataset'!K74="East","E",IF('Final Project Dataset'!K74="West","W",IF('Final Project Dataset'!K74="Central","C","")))))</f>
        <v>N</v>
      </c>
      <c r="L74" s="34" t="str">
        <f>IF('Final Project Dataset'!L74="Premium","PREM",IF('Final Project Dataset'!L74="Standard","STND",IF('Final Project Dataset'!L74="Basic","BASC","")))</f>
        <v>PREM</v>
      </c>
      <c r="M74" s="34" t="str">
        <f>IF('Final Project Dataset'!J74="Credit Card","CC",IF('Final Project Dataset'!J74="Debit Card","DC",IF('Final Project Dataset'!J74="PayPal","PP",IF('Final Project Dataset'!J74="Cash","CSH",""))))</f>
        <v>CSH</v>
      </c>
    </row>
    <row r="75" spans="1:13">
      <c r="A75" s="34" t="str">
        <f>'Final Project Dataset'!D75</f>
        <v>Sharon Butler</v>
      </c>
      <c r="B75" s="34" t="str">
        <f t="shared" si="8"/>
        <v>Sharon</v>
      </c>
      <c r="C75" s="34" t="str">
        <f t="shared" si="9"/>
        <v>Butler</v>
      </c>
      <c r="D75" s="34" t="str">
        <f t="shared" si="10"/>
        <v>S.B.</v>
      </c>
      <c r="E75" s="34" t="str">
        <f t="shared" si="11"/>
        <v>Sharon B.</v>
      </c>
      <c r="F75" s="34" t="str">
        <f t="shared" si="12"/>
        <v>SHARON BUTLER</v>
      </c>
      <c r="G75" s="34" t="str">
        <f t="shared" si="13"/>
        <v>sharon butler</v>
      </c>
      <c r="H75" s="34" t="str">
        <f t="shared" si="14"/>
        <v>Sharon Butler</v>
      </c>
      <c r="I75" s="34">
        <f t="shared" si="15"/>
        <v>13</v>
      </c>
      <c r="J75" s="34" t="str">
        <f>IF('Final Project Dataset'!G75="Electronics","ELEC",IF('Final Project Dataset'!G75="Furniture","FURN",IF('Final Project Dataset'!G75="Appliances","APPL","")))</f>
        <v>ELEC</v>
      </c>
      <c r="K75" s="34" t="str">
        <f>IF('Final Project Dataset'!K75="North","N",IF('Final Project Dataset'!K75="South","S",IF('Final Project Dataset'!K75="East","E",IF('Final Project Dataset'!K75="West","W",IF('Final Project Dataset'!K75="Central","C","")))))</f>
        <v>C</v>
      </c>
      <c r="L75" s="34" t="str">
        <f>IF('Final Project Dataset'!L75="Premium","PREM",IF('Final Project Dataset'!L75="Standard","STND",IF('Final Project Dataset'!L75="Basic","BASC","")))</f>
        <v>STND</v>
      </c>
      <c r="M75" s="34" t="str">
        <f>IF('Final Project Dataset'!J75="Credit Card","CC",IF('Final Project Dataset'!J75="Debit Card","DC",IF('Final Project Dataset'!J75="PayPal","PP",IF('Final Project Dataset'!J75="Cash","CSH",""))))</f>
        <v>CSH</v>
      </c>
    </row>
    <row r="76" spans="1:13">
      <c r="A76" s="34" t="str">
        <f>'Final Project Dataset'!D76</f>
        <v>Joseph Jackson</v>
      </c>
      <c r="B76" s="34" t="str">
        <f t="shared" si="8"/>
        <v>Joseph</v>
      </c>
      <c r="C76" s="34" t="str">
        <f t="shared" si="9"/>
        <v>Jackson</v>
      </c>
      <c r="D76" s="34" t="str">
        <f t="shared" si="10"/>
        <v>J.J.</v>
      </c>
      <c r="E76" s="34" t="str">
        <f t="shared" si="11"/>
        <v>Joseph J.</v>
      </c>
      <c r="F76" s="34" t="str">
        <f t="shared" si="12"/>
        <v>JOSEPH JACKSON</v>
      </c>
      <c r="G76" s="34" t="str">
        <f t="shared" si="13"/>
        <v>joseph jackson</v>
      </c>
      <c r="H76" s="34" t="str">
        <f t="shared" si="14"/>
        <v>Joseph Jackson</v>
      </c>
      <c r="I76" s="34">
        <f t="shared" si="15"/>
        <v>14</v>
      </c>
      <c r="J76" s="34" t="str">
        <f>IF('Final Project Dataset'!G76="Electronics","ELEC",IF('Final Project Dataset'!G76="Furniture","FURN",IF('Final Project Dataset'!G76="Appliances","APPL","")))</f>
        <v>ELEC</v>
      </c>
      <c r="K76" s="34" t="str">
        <f>IF('Final Project Dataset'!K76="North","N",IF('Final Project Dataset'!K76="South","S",IF('Final Project Dataset'!K76="East","E",IF('Final Project Dataset'!K76="West","W",IF('Final Project Dataset'!K76="Central","C","")))))</f>
        <v>S</v>
      </c>
      <c r="L76" s="34" t="str">
        <f>IF('Final Project Dataset'!L76="Premium","PREM",IF('Final Project Dataset'!L76="Standard","STND",IF('Final Project Dataset'!L76="Basic","BASC","")))</f>
        <v>STND</v>
      </c>
      <c r="M76" s="34" t="str">
        <f>IF('Final Project Dataset'!J76="Credit Card","CC",IF('Final Project Dataset'!J76="Debit Card","DC",IF('Final Project Dataset'!J76="PayPal","PP",IF('Final Project Dataset'!J76="Cash","CSH",""))))</f>
        <v>DC</v>
      </c>
    </row>
    <row r="77" spans="1:13">
      <c r="A77" s="34" t="str">
        <f>'Final Project Dataset'!D77</f>
        <v>David Martinez</v>
      </c>
      <c r="B77" s="34" t="str">
        <f t="shared" si="8"/>
        <v>David</v>
      </c>
      <c r="C77" s="34" t="str">
        <f t="shared" si="9"/>
        <v>Martinez</v>
      </c>
      <c r="D77" s="34" t="str">
        <f t="shared" si="10"/>
        <v>D.M.</v>
      </c>
      <c r="E77" s="34" t="str">
        <f t="shared" si="11"/>
        <v>David M.</v>
      </c>
      <c r="F77" s="34" t="str">
        <f t="shared" si="12"/>
        <v>DAVID MARTINEZ</v>
      </c>
      <c r="G77" s="34" t="str">
        <f t="shared" si="13"/>
        <v>david martinez</v>
      </c>
      <c r="H77" s="34" t="str">
        <f t="shared" si="14"/>
        <v>David Martinez</v>
      </c>
      <c r="I77" s="34">
        <f t="shared" si="15"/>
        <v>14</v>
      </c>
      <c r="J77" s="34" t="str">
        <f>IF('Final Project Dataset'!G77="Electronics","ELEC",IF('Final Project Dataset'!G77="Furniture","FURN",IF('Final Project Dataset'!G77="Appliances","APPL","")))</f>
        <v>APPL</v>
      </c>
      <c r="K77" s="34" t="str">
        <f>IF('Final Project Dataset'!K77="North","N",IF('Final Project Dataset'!K77="South","S",IF('Final Project Dataset'!K77="East","E",IF('Final Project Dataset'!K77="West","W",IF('Final Project Dataset'!K77="Central","C","")))))</f>
        <v>N</v>
      </c>
      <c r="L77" s="34" t="str">
        <f>IF('Final Project Dataset'!L77="Premium","PREM",IF('Final Project Dataset'!L77="Standard","STND",IF('Final Project Dataset'!L77="Basic","BASC","")))</f>
        <v>STND</v>
      </c>
      <c r="M77" s="34" t="str">
        <f>IF('Final Project Dataset'!J77="Credit Card","CC",IF('Final Project Dataset'!J77="Debit Card","DC",IF('Final Project Dataset'!J77="PayPal","PP",IF('Final Project Dataset'!J77="Cash","CSH",""))))</f>
        <v>CSH</v>
      </c>
    </row>
    <row r="78" spans="1:13">
      <c r="A78" s="34" t="str">
        <f>'Final Project Dataset'!D78</f>
        <v>Gerald Murphy</v>
      </c>
      <c r="B78" s="34" t="str">
        <f t="shared" si="8"/>
        <v>Gerald</v>
      </c>
      <c r="C78" s="34" t="str">
        <f t="shared" si="9"/>
        <v>Murphy</v>
      </c>
      <c r="D78" s="34" t="str">
        <f t="shared" si="10"/>
        <v>G.M.</v>
      </c>
      <c r="E78" s="34" t="str">
        <f t="shared" si="11"/>
        <v>Gerald M.</v>
      </c>
      <c r="F78" s="34" t="str">
        <f t="shared" si="12"/>
        <v>GERALD MURPHY</v>
      </c>
      <c r="G78" s="34" t="str">
        <f t="shared" si="13"/>
        <v>gerald murphy</v>
      </c>
      <c r="H78" s="34" t="str">
        <f t="shared" si="14"/>
        <v>Gerald Murphy</v>
      </c>
      <c r="I78" s="34">
        <f t="shared" si="15"/>
        <v>13</v>
      </c>
      <c r="J78" s="34" t="str">
        <f>IF('Final Project Dataset'!G78="Electronics","ELEC",IF('Final Project Dataset'!G78="Furniture","FURN",IF('Final Project Dataset'!G78="Appliances","APPL","")))</f>
        <v>ELEC</v>
      </c>
      <c r="K78" s="34" t="str">
        <f>IF('Final Project Dataset'!K78="North","N",IF('Final Project Dataset'!K78="South","S",IF('Final Project Dataset'!K78="East","E",IF('Final Project Dataset'!K78="West","W",IF('Final Project Dataset'!K78="Central","C","")))))</f>
        <v>C</v>
      </c>
      <c r="L78" s="34" t="str">
        <f>IF('Final Project Dataset'!L78="Premium","PREM",IF('Final Project Dataset'!L78="Standard","STND",IF('Final Project Dataset'!L78="Basic","BASC","")))</f>
        <v>STND</v>
      </c>
      <c r="M78" s="34" t="str">
        <f>IF('Final Project Dataset'!J78="Credit Card","CC",IF('Final Project Dataset'!J78="Debit Card","DC",IF('Final Project Dataset'!J78="PayPal","PP",IF('Final Project Dataset'!J78="Cash","CSH",""))))</f>
        <v>DC</v>
      </c>
    </row>
    <row r="79" spans="1:13">
      <c r="A79" s="34" t="str">
        <f>'Final Project Dataset'!D79</f>
        <v>Barbara Young</v>
      </c>
      <c r="B79" s="34" t="str">
        <f t="shared" si="8"/>
        <v>Barbara</v>
      </c>
      <c r="C79" s="34" t="str">
        <f t="shared" si="9"/>
        <v>Young</v>
      </c>
      <c r="D79" s="34" t="str">
        <f t="shared" si="10"/>
        <v>B.Y.</v>
      </c>
      <c r="E79" s="34" t="str">
        <f t="shared" si="11"/>
        <v>Barbara Y.</v>
      </c>
      <c r="F79" s="34" t="str">
        <f t="shared" si="12"/>
        <v>BARBARA YOUNG</v>
      </c>
      <c r="G79" s="34" t="str">
        <f t="shared" si="13"/>
        <v>barbara young</v>
      </c>
      <c r="H79" s="34" t="str">
        <f t="shared" si="14"/>
        <v>Barbara Young</v>
      </c>
      <c r="I79" s="34">
        <f t="shared" si="15"/>
        <v>13</v>
      </c>
      <c r="J79" s="34" t="str">
        <f>IF('Final Project Dataset'!G79="Electronics","ELEC",IF('Final Project Dataset'!G79="Furniture","FURN",IF('Final Project Dataset'!G79="Appliances","APPL","")))</f>
        <v>ELEC</v>
      </c>
      <c r="K79" s="34" t="str">
        <f>IF('Final Project Dataset'!K79="North","N",IF('Final Project Dataset'!K79="South","S",IF('Final Project Dataset'!K79="East","E",IF('Final Project Dataset'!K79="West","W",IF('Final Project Dataset'!K79="Central","C","")))))</f>
        <v>N</v>
      </c>
      <c r="L79" s="34" t="str">
        <f>IF('Final Project Dataset'!L79="Premium","PREM",IF('Final Project Dataset'!L79="Standard","STND",IF('Final Project Dataset'!L79="Basic","BASC","")))</f>
        <v>PREM</v>
      </c>
      <c r="M79" s="34" t="str">
        <f>IF('Final Project Dataset'!J79="Credit Card","CC",IF('Final Project Dataset'!J79="Debit Card","DC",IF('Final Project Dataset'!J79="PayPal","PP",IF('Final Project Dataset'!J79="Cash","CSH",""))))</f>
        <v>CSH</v>
      </c>
    </row>
    <row r="80" spans="1:13">
      <c r="A80" s="34" t="str">
        <f>'Final Project Dataset'!D80</f>
        <v>Daniel King</v>
      </c>
      <c r="B80" s="34" t="str">
        <f t="shared" si="8"/>
        <v>Daniel</v>
      </c>
      <c r="C80" s="34" t="str">
        <f t="shared" si="9"/>
        <v>King</v>
      </c>
      <c r="D80" s="34" t="str">
        <f t="shared" si="10"/>
        <v>D.K.</v>
      </c>
      <c r="E80" s="34" t="str">
        <f t="shared" si="11"/>
        <v>Daniel K.</v>
      </c>
      <c r="F80" s="34" t="str">
        <f t="shared" si="12"/>
        <v>DANIEL KING</v>
      </c>
      <c r="G80" s="34" t="str">
        <f t="shared" si="13"/>
        <v>daniel king</v>
      </c>
      <c r="H80" s="34" t="str">
        <f t="shared" si="14"/>
        <v>Daniel King</v>
      </c>
      <c r="I80" s="34">
        <f t="shared" si="15"/>
        <v>11</v>
      </c>
      <c r="J80" s="34" t="str">
        <f>IF('Final Project Dataset'!G80="Electronics","ELEC",IF('Final Project Dataset'!G80="Furniture","FURN",IF('Final Project Dataset'!G80="Appliances","APPL","")))</f>
        <v>FURN</v>
      </c>
      <c r="K80" s="34" t="str">
        <f>IF('Final Project Dataset'!K80="North","N",IF('Final Project Dataset'!K80="South","S",IF('Final Project Dataset'!K80="East","E",IF('Final Project Dataset'!K80="West","W",IF('Final Project Dataset'!K80="Central","C","")))))</f>
        <v>S</v>
      </c>
      <c r="L80" s="34" t="str">
        <f>IF('Final Project Dataset'!L80="Premium","PREM",IF('Final Project Dataset'!L80="Standard","STND",IF('Final Project Dataset'!L80="Basic","BASC","")))</f>
        <v>BASC</v>
      </c>
      <c r="M80" s="34" t="str">
        <f>IF('Final Project Dataset'!J80="Credit Card","CC",IF('Final Project Dataset'!J80="Debit Card","DC",IF('Final Project Dataset'!J80="PayPal","PP",IF('Final Project Dataset'!J80="Cash","CSH",""))))</f>
        <v>CSH</v>
      </c>
    </row>
    <row r="81" spans="1:13">
      <c r="A81" s="34" t="str">
        <f>'Final Project Dataset'!D81</f>
        <v>Mark Carter</v>
      </c>
      <c r="B81" s="34" t="str">
        <f t="shared" si="8"/>
        <v>Mark</v>
      </c>
      <c r="C81" s="34" t="str">
        <f t="shared" si="9"/>
        <v>Carter</v>
      </c>
      <c r="D81" s="34" t="str">
        <f t="shared" si="10"/>
        <v>M.C.</v>
      </c>
      <c r="E81" s="34" t="str">
        <f t="shared" si="11"/>
        <v>Mark C.</v>
      </c>
      <c r="F81" s="34" t="str">
        <f t="shared" si="12"/>
        <v>MARK CARTER</v>
      </c>
      <c r="G81" s="34" t="str">
        <f t="shared" si="13"/>
        <v>mark carter</v>
      </c>
      <c r="H81" s="34" t="str">
        <f t="shared" si="14"/>
        <v>Mark Carter</v>
      </c>
      <c r="I81" s="34">
        <f t="shared" si="15"/>
        <v>11</v>
      </c>
      <c r="J81" s="34" t="str">
        <f>IF('Final Project Dataset'!G81="Electronics","ELEC",IF('Final Project Dataset'!G81="Furniture","FURN",IF('Final Project Dataset'!G81="Appliances","APPL","")))</f>
        <v>ELEC</v>
      </c>
      <c r="K81" s="34" t="str">
        <f>IF('Final Project Dataset'!K81="North","N",IF('Final Project Dataset'!K81="South","S",IF('Final Project Dataset'!K81="East","E",IF('Final Project Dataset'!K81="West","W",IF('Final Project Dataset'!K81="Central","C","")))))</f>
        <v>S</v>
      </c>
      <c r="L81" s="34" t="str">
        <f>IF('Final Project Dataset'!L81="Premium","PREM",IF('Final Project Dataset'!L81="Standard","STND",IF('Final Project Dataset'!L81="Basic","BASC","")))</f>
        <v>BASC</v>
      </c>
      <c r="M81" s="34" t="str">
        <f>IF('Final Project Dataset'!J81="Credit Card","CC",IF('Final Project Dataset'!J81="Debit Card","DC",IF('Final Project Dataset'!J81="PayPal","PP",IF('Final Project Dataset'!J81="Cash","CSH",""))))</f>
        <v>PP</v>
      </c>
    </row>
    <row r="82" spans="1:13">
      <c r="A82" s="34" t="str">
        <f>'Final Project Dataset'!D82</f>
        <v>Daniel King</v>
      </c>
      <c r="B82" s="34" t="str">
        <f t="shared" si="8"/>
        <v>Daniel</v>
      </c>
      <c r="C82" s="34" t="str">
        <f t="shared" si="9"/>
        <v>King</v>
      </c>
      <c r="D82" s="34" t="str">
        <f t="shared" si="10"/>
        <v>D.K.</v>
      </c>
      <c r="E82" s="34" t="str">
        <f t="shared" si="11"/>
        <v>Daniel K.</v>
      </c>
      <c r="F82" s="34" t="str">
        <f t="shared" si="12"/>
        <v>DANIEL KING</v>
      </c>
      <c r="G82" s="34" t="str">
        <f t="shared" si="13"/>
        <v>daniel king</v>
      </c>
      <c r="H82" s="34" t="str">
        <f t="shared" si="14"/>
        <v>Daniel King</v>
      </c>
      <c r="I82" s="34">
        <f t="shared" si="15"/>
        <v>11</v>
      </c>
      <c r="J82" s="34" t="str">
        <f>IF('Final Project Dataset'!G82="Electronics","ELEC",IF('Final Project Dataset'!G82="Furniture","FURN",IF('Final Project Dataset'!G82="Appliances","APPL","")))</f>
        <v>FURN</v>
      </c>
      <c r="K82" s="34" t="str">
        <f>IF('Final Project Dataset'!K82="North","N",IF('Final Project Dataset'!K82="South","S",IF('Final Project Dataset'!K82="East","E",IF('Final Project Dataset'!K82="West","W",IF('Final Project Dataset'!K82="Central","C","")))))</f>
        <v>C</v>
      </c>
      <c r="L82" s="34" t="str">
        <f>IF('Final Project Dataset'!L82="Premium","PREM",IF('Final Project Dataset'!L82="Standard","STND",IF('Final Project Dataset'!L82="Basic","BASC","")))</f>
        <v>BASC</v>
      </c>
      <c r="M82" s="34" t="str">
        <f>IF('Final Project Dataset'!J82="Credit Card","CC",IF('Final Project Dataset'!J82="Debit Card","DC",IF('Final Project Dataset'!J82="PayPal","PP",IF('Final Project Dataset'!J82="Cash","CSH",""))))</f>
        <v>CSH</v>
      </c>
    </row>
    <row r="83" spans="1:13">
      <c r="A83" s="34" t="str">
        <f>'Final Project Dataset'!D83</f>
        <v>Mark Carter</v>
      </c>
      <c r="B83" s="34" t="str">
        <f t="shared" si="8"/>
        <v>Mark</v>
      </c>
      <c r="C83" s="34" t="str">
        <f t="shared" si="9"/>
        <v>Carter</v>
      </c>
      <c r="D83" s="34" t="str">
        <f t="shared" si="10"/>
        <v>M.C.</v>
      </c>
      <c r="E83" s="34" t="str">
        <f t="shared" si="11"/>
        <v>Mark C.</v>
      </c>
      <c r="F83" s="34" t="str">
        <f t="shared" si="12"/>
        <v>MARK CARTER</v>
      </c>
      <c r="G83" s="34" t="str">
        <f t="shared" si="13"/>
        <v>mark carter</v>
      </c>
      <c r="H83" s="34" t="str">
        <f t="shared" si="14"/>
        <v>Mark Carter</v>
      </c>
      <c r="I83" s="34">
        <f t="shared" si="15"/>
        <v>11</v>
      </c>
      <c r="J83" s="34" t="str">
        <f>IF('Final Project Dataset'!G83="Electronics","ELEC",IF('Final Project Dataset'!G83="Furniture","FURN",IF('Final Project Dataset'!G83="Appliances","APPL","")))</f>
        <v>ELEC</v>
      </c>
      <c r="K83" s="34" t="str">
        <f>IF('Final Project Dataset'!K83="North","N",IF('Final Project Dataset'!K83="South","S",IF('Final Project Dataset'!K83="East","E",IF('Final Project Dataset'!K83="West","W",IF('Final Project Dataset'!K83="Central","C","")))))</f>
        <v>N</v>
      </c>
      <c r="L83" s="34" t="str">
        <f>IF('Final Project Dataset'!L83="Premium","PREM",IF('Final Project Dataset'!L83="Standard","STND",IF('Final Project Dataset'!L83="Basic","BASC","")))</f>
        <v>PREM</v>
      </c>
      <c r="M83" s="34" t="str">
        <f>IF('Final Project Dataset'!J83="Credit Card","CC",IF('Final Project Dataset'!J83="Debit Card","DC",IF('Final Project Dataset'!J83="PayPal","PP",IF('Final Project Dataset'!J83="Cash","CSH",""))))</f>
        <v>CC</v>
      </c>
    </row>
    <row r="84" spans="1:13">
      <c r="A84" s="34" t="str">
        <f>'Final Project Dataset'!D84</f>
        <v>Helen Roberts</v>
      </c>
      <c r="B84" s="34" t="str">
        <f t="shared" si="8"/>
        <v>Helen</v>
      </c>
      <c r="C84" s="34" t="str">
        <f t="shared" si="9"/>
        <v>Roberts</v>
      </c>
      <c r="D84" s="34" t="str">
        <f t="shared" si="10"/>
        <v>H.R.</v>
      </c>
      <c r="E84" s="34" t="str">
        <f t="shared" si="11"/>
        <v>Helen R.</v>
      </c>
      <c r="F84" s="34" t="str">
        <f t="shared" si="12"/>
        <v>HELEN ROBERTS</v>
      </c>
      <c r="G84" s="34" t="str">
        <f t="shared" si="13"/>
        <v>helen roberts</v>
      </c>
      <c r="H84" s="34" t="str">
        <f t="shared" si="14"/>
        <v>Helen Roberts</v>
      </c>
      <c r="I84" s="34">
        <f t="shared" si="15"/>
        <v>13</v>
      </c>
      <c r="J84" s="34" t="str">
        <f>IF('Final Project Dataset'!G84="Electronics","ELEC",IF('Final Project Dataset'!G84="Furniture","FURN",IF('Final Project Dataset'!G84="Appliances","APPL","")))</f>
        <v>ELEC</v>
      </c>
      <c r="K84" s="34" t="str">
        <f>IF('Final Project Dataset'!K84="North","N",IF('Final Project Dataset'!K84="South","S",IF('Final Project Dataset'!K84="East","E",IF('Final Project Dataset'!K84="West","W",IF('Final Project Dataset'!K84="Central","C","")))))</f>
        <v>S</v>
      </c>
      <c r="L84" s="34" t="str">
        <f>IF('Final Project Dataset'!L84="Premium","PREM",IF('Final Project Dataset'!L84="Standard","STND",IF('Final Project Dataset'!L84="Basic","BASC","")))</f>
        <v>STND</v>
      </c>
      <c r="M84" s="34" t="str">
        <f>IF('Final Project Dataset'!J84="Credit Card","CC",IF('Final Project Dataset'!J84="Debit Card","DC",IF('Final Project Dataset'!J84="PayPal","PP",IF('Final Project Dataset'!J84="Cash","CSH",""))))</f>
        <v>DC</v>
      </c>
    </row>
    <row r="85" spans="1:13">
      <c r="A85" s="34" t="str">
        <f>'Final Project Dataset'!D85</f>
        <v>Elizabeth Hall</v>
      </c>
      <c r="B85" s="34" t="str">
        <f t="shared" si="8"/>
        <v>Elizabeth</v>
      </c>
      <c r="C85" s="34" t="str">
        <f t="shared" si="9"/>
        <v>Hall</v>
      </c>
      <c r="D85" s="34" t="str">
        <f t="shared" si="10"/>
        <v>E.H.</v>
      </c>
      <c r="E85" s="34" t="str">
        <f t="shared" si="11"/>
        <v>Elizabeth H.</v>
      </c>
      <c r="F85" s="34" t="str">
        <f t="shared" si="12"/>
        <v>ELIZABETH HALL</v>
      </c>
      <c r="G85" s="34" t="str">
        <f t="shared" si="13"/>
        <v>elizabeth hall</v>
      </c>
      <c r="H85" s="34" t="str">
        <f t="shared" si="14"/>
        <v>Elizabeth Hall</v>
      </c>
      <c r="I85" s="34">
        <f t="shared" si="15"/>
        <v>14</v>
      </c>
      <c r="J85" s="34" t="str">
        <f>IF('Final Project Dataset'!G85="Electronics","ELEC",IF('Final Project Dataset'!G85="Furniture","FURN",IF('Final Project Dataset'!G85="Appliances","APPL","")))</f>
        <v>FURN</v>
      </c>
      <c r="K85" s="34" t="str">
        <f>IF('Final Project Dataset'!K85="North","N",IF('Final Project Dataset'!K85="South","S",IF('Final Project Dataset'!K85="East","E",IF('Final Project Dataset'!K85="West","W",IF('Final Project Dataset'!K85="Central","C","")))))</f>
        <v>W</v>
      </c>
      <c r="L85" s="34" t="str">
        <f>IF('Final Project Dataset'!L85="Premium","PREM",IF('Final Project Dataset'!L85="Standard","STND",IF('Final Project Dataset'!L85="Basic","BASC","")))</f>
        <v>BASC</v>
      </c>
      <c r="M85" s="34" t="str">
        <f>IF('Final Project Dataset'!J85="Credit Card","CC",IF('Final Project Dataset'!J85="Debit Card","DC",IF('Final Project Dataset'!J85="PayPal","PP",IF('Final Project Dataset'!J85="Cash","CSH",""))))</f>
        <v>CC</v>
      </c>
    </row>
    <row r="86" spans="1:13">
      <c r="A86" s="34" t="str">
        <f>'Final Project Dataset'!D86</f>
        <v>Cynthia Price</v>
      </c>
      <c r="B86" s="34" t="str">
        <f t="shared" si="8"/>
        <v>Cynthia</v>
      </c>
      <c r="C86" s="34" t="str">
        <f t="shared" si="9"/>
        <v>Price</v>
      </c>
      <c r="D86" s="34" t="str">
        <f t="shared" si="10"/>
        <v>C.P.</v>
      </c>
      <c r="E86" s="34" t="str">
        <f t="shared" si="11"/>
        <v>Cynthia P.</v>
      </c>
      <c r="F86" s="34" t="str">
        <f t="shared" si="12"/>
        <v>CYNTHIA PRICE</v>
      </c>
      <c r="G86" s="34" t="str">
        <f t="shared" si="13"/>
        <v>cynthia price</v>
      </c>
      <c r="H86" s="34" t="str">
        <f t="shared" si="14"/>
        <v>Cynthia Price</v>
      </c>
      <c r="I86" s="34">
        <f t="shared" si="15"/>
        <v>13</v>
      </c>
      <c r="J86" s="34" t="str">
        <f>IF('Final Project Dataset'!G86="Electronics","ELEC",IF('Final Project Dataset'!G86="Furniture","FURN",IF('Final Project Dataset'!G86="Appliances","APPL","")))</f>
        <v>FURN</v>
      </c>
      <c r="K86" s="34" t="str">
        <f>IF('Final Project Dataset'!K86="North","N",IF('Final Project Dataset'!K86="South","S",IF('Final Project Dataset'!K86="East","E",IF('Final Project Dataset'!K86="West","W",IF('Final Project Dataset'!K86="Central","C","")))))</f>
        <v>E</v>
      </c>
      <c r="L86" s="34" t="str">
        <f>IF('Final Project Dataset'!L86="Premium","PREM",IF('Final Project Dataset'!L86="Standard","STND",IF('Final Project Dataset'!L86="Basic","BASC","")))</f>
        <v>STND</v>
      </c>
      <c r="M86" s="34" t="str">
        <f>IF('Final Project Dataset'!J86="Credit Card","CC",IF('Final Project Dataset'!J86="Debit Card","DC",IF('Final Project Dataset'!J86="PayPal","PP",IF('Final Project Dataset'!J86="Cash","CSH",""))))</f>
        <v>DC</v>
      </c>
    </row>
    <row r="87" spans="1:13">
      <c r="A87" s="34" t="str">
        <f>'Final Project Dataset'!D87</f>
        <v>Maria Garcia</v>
      </c>
      <c r="B87" s="34" t="str">
        <f t="shared" si="8"/>
        <v>Maria</v>
      </c>
      <c r="C87" s="34" t="str">
        <f t="shared" si="9"/>
        <v>Garcia</v>
      </c>
      <c r="D87" s="34" t="str">
        <f t="shared" si="10"/>
        <v>M.G.</v>
      </c>
      <c r="E87" s="34" t="str">
        <f t="shared" si="11"/>
        <v>Maria G.</v>
      </c>
      <c r="F87" s="34" t="str">
        <f t="shared" si="12"/>
        <v>MARIA GARCIA</v>
      </c>
      <c r="G87" s="34" t="str">
        <f t="shared" si="13"/>
        <v>maria garcia</v>
      </c>
      <c r="H87" s="34" t="str">
        <f t="shared" si="14"/>
        <v>Maria Garcia</v>
      </c>
      <c r="I87" s="34">
        <f t="shared" si="15"/>
        <v>12</v>
      </c>
      <c r="J87" s="34" t="str">
        <f>IF('Final Project Dataset'!G87="Electronics","ELEC",IF('Final Project Dataset'!G87="Furniture","FURN",IF('Final Project Dataset'!G87="Appliances","APPL","")))</f>
        <v>ELEC</v>
      </c>
      <c r="K87" s="34" t="str">
        <f>IF('Final Project Dataset'!K87="North","N",IF('Final Project Dataset'!K87="South","S",IF('Final Project Dataset'!K87="East","E",IF('Final Project Dataset'!K87="West","W",IF('Final Project Dataset'!K87="Central","C","")))))</f>
        <v>N</v>
      </c>
      <c r="L87" s="34" t="str">
        <f>IF('Final Project Dataset'!L87="Premium","PREM",IF('Final Project Dataset'!L87="Standard","STND",IF('Final Project Dataset'!L87="Basic","BASC","")))</f>
        <v>STND</v>
      </c>
      <c r="M87" s="34" t="str">
        <f>IF('Final Project Dataset'!J87="Credit Card","CC",IF('Final Project Dataset'!J87="Debit Card","DC",IF('Final Project Dataset'!J87="PayPal","PP",IF('Final Project Dataset'!J87="Cash","CSH",""))))</f>
        <v>CC</v>
      </c>
    </row>
    <row r="88" spans="1:13">
      <c r="A88" s="34" t="str">
        <f>'Final Project Dataset'!D88</f>
        <v>Mark Carter</v>
      </c>
      <c r="B88" s="34" t="str">
        <f t="shared" si="8"/>
        <v>Mark</v>
      </c>
      <c r="C88" s="34" t="str">
        <f t="shared" si="9"/>
        <v>Carter</v>
      </c>
      <c r="D88" s="34" t="str">
        <f t="shared" si="10"/>
        <v>M.C.</v>
      </c>
      <c r="E88" s="34" t="str">
        <f t="shared" si="11"/>
        <v>Mark C.</v>
      </c>
      <c r="F88" s="34" t="str">
        <f t="shared" si="12"/>
        <v>MARK CARTER</v>
      </c>
      <c r="G88" s="34" t="str">
        <f t="shared" si="13"/>
        <v>mark carter</v>
      </c>
      <c r="H88" s="34" t="str">
        <f t="shared" si="14"/>
        <v>Mark Carter</v>
      </c>
      <c r="I88" s="34">
        <f t="shared" si="15"/>
        <v>11</v>
      </c>
      <c r="J88" s="34" t="str">
        <f>IF('Final Project Dataset'!G88="Electronics","ELEC",IF('Final Project Dataset'!G88="Furniture","FURN",IF('Final Project Dataset'!G88="Appliances","APPL","")))</f>
        <v>FURN</v>
      </c>
      <c r="K88" s="34" t="str">
        <f>IF('Final Project Dataset'!K88="North","N",IF('Final Project Dataset'!K88="South","S",IF('Final Project Dataset'!K88="East","E",IF('Final Project Dataset'!K88="West","W",IF('Final Project Dataset'!K88="Central","C","")))))</f>
        <v>N</v>
      </c>
      <c r="L88" s="34" t="str">
        <f>IF('Final Project Dataset'!L88="Premium","PREM",IF('Final Project Dataset'!L88="Standard","STND",IF('Final Project Dataset'!L88="Basic","BASC","")))</f>
        <v>BASC</v>
      </c>
      <c r="M88" s="34" t="str">
        <f>IF('Final Project Dataset'!J88="Credit Card","CC",IF('Final Project Dataset'!J88="Debit Card","DC",IF('Final Project Dataset'!J88="PayPal","PP",IF('Final Project Dataset'!J88="Cash","CSH",""))))</f>
        <v>CC</v>
      </c>
    </row>
    <row r="89" spans="1:13">
      <c r="A89" s="34" t="str">
        <f>'Final Project Dataset'!D89</f>
        <v>David Martinez</v>
      </c>
      <c r="B89" s="34" t="str">
        <f t="shared" si="8"/>
        <v>David</v>
      </c>
      <c r="C89" s="34" t="str">
        <f t="shared" si="9"/>
        <v>Martinez</v>
      </c>
      <c r="D89" s="34" t="str">
        <f t="shared" si="10"/>
        <v>D.M.</v>
      </c>
      <c r="E89" s="34" t="str">
        <f t="shared" si="11"/>
        <v>David M.</v>
      </c>
      <c r="F89" s="34" t="str">
        <f t="shared" si="12"/>
        <v>DAVID MARTINEZ</v>
      </c>
      <c r="G89" s="34" t="str">
        <f t="shared" si="13"/>
        <v>david martinez</v>
      </c>
      <c r="H89" s="34" t="str">
        <f t="shared" si="14"/>
        <v>David Martinez</v>
      </c>
      <c r="I89" s="34">
        <f t="shared" si="15"/>
        <v>14</v>
      </c>
      <c r="J89" s="34" t="str">
        <f>IF('Final Project Dataset'!G89="Electronics","ELEC",IF('Final Project Dataset'!G89="Furniture","FURN",IF('Final Project Dataset'!G89="Appliances","APPL","")))</f>
        <v>ELEC</v>
      </c>
      <c r="K89" s="34" t="str">
        <f>IF('Final Project Dataset'!K89="North","N",IF('Final Project Dataset'!K89="South","S",IF('Final Project Dataset'!K89="East","E",IF('Final Project Dataset'!K89="West","W",IF('Final Project Dataset'!K89="Central","C","")))))</f>
        <v>S</v>
      </c>
      <c r="L89" s="34" t="str">
        <f>IF('Final Project Dataset'!L89="Premium","PREM",IF('Final Project Dataset'!L89="Standard","STND",IF('Final Project Dataset'!L89="Basic","BASC","")))</f>
        <v>PREM</v>
      </c>
      <c r="M89" s="34" t="str">
        <f>IF('Final Project Dataset'!J89="Credit Card","CC",IF('Final Project Dataset'!J89="Debit Card","DC",IF('Final Project Dataset'!J89="PayPal","PP",IF('Final Project Dataset'!J89="Cash","CSH",""))))</f>
        <v>DC</v>
      </c>
    </row>
    <row r="90" spans="1:13">
      <c r="A90" s="34" t="str">
        <f>'Final Project Dataset'!D90</f>
        <v>Margaret Wright</v>
      </c>
      <c r="B90" s="34" t="str">
        <f t="shared" si="8"/>
        <v>Margaret</v>
      </c>
      <c r="C90" s="34" t="str">
        <f t="shared" si="9"/>
        <v>Wright</v>
      </c>
      <c r="D90" s="34" t="str">
        <f t="shared" si="10"/>
        <v>M.W.</v>
      </c>
      <c r="E90" s="34" t="str">
        <f t="shared" si="11"/>
        <v>Margaret W.</v>
      </c>
      <c r="F90" s="34" t="str">
        <f t="shared" si="12"/>
        <v>MARGARET WRIGHT</v>
      </c>
      <c r="G90" s="34" t="str">
        <f t="shared" si="13"/>
        <v>margaret wright</v>
      </c>
      <c r="H90" s="34" t="str">
        <f t="shared" si="14"/>
        <v>Margaret Wright</v>
      </c>
      <c r="I90" s="34">
        <f t="shared" si="15"/>
        <v>15</v>
      </c>
      <c r="J90" s="34" t="str">
        <f>IF('Final Project Dataset'!G90="Electronics","ELEC",IF('Final Project Dataset'!G90="Furniture","FURN",IF('Final Project Dataset'!G90="Appliances","APPL","")))</f>
        <v>ELEC</v>
      </c>
      <c r="K90" s="34" t="str">
        <f>IF('Final Project Dataset'!K90="North","N",IF('Final Project Dataset'!K90="South","S",IF('Final Project Dataset'!K90="East","E",IF('Final Project Dataset'!K90="West","W",IF('Final Project Dataset'!K90="Central","C","")))))</f>
        <v>E</v>
      </c>
      <c r="L90" s="34" t="str">
        <f>IF('Final Project Dataset'!L90="Premium","PREM",IF('Final Project Dataset'!L90="Standard","STND",IF('Final Project Dataset'!L90="Basic","BASC","")))</f>
        <v>PREM</v>
      </c>
      <c r="M90" s="34" t="str">
        <f>IF('Final Project Dataset'!J90="Credit Card","CC",IF('Final Project Dataset'!J90="Debit Card","DC",IF('Final Project Dataset'!J90="PayPal","PP",IF('Final Project Dataset'!J90="Cash","CSH",""))))</f>
        <v>PP</v>
      </c>
    </row>
    <row r="91" spans="1:13">
      <c r="A91" s="34" t="str">
        <f>'Final Project Dataset'!D91</f>
        <v>Karen Hill</v>
      </c>
      <c r="B91" s="34" t="str">
        <f t="shared" si="8"/>
        <v>Karen</v>
      </c>
      <c r="C91" s="34" t="str">
        <f t="shared" si="9"/>
        <v>Hill</v>
      </c>
      <c r="D91" s="34" t="str">
        <f t="shared" si="10"/>
        <v>K.H.</v>
      </c>
      <c r="E91" s="34" t="str">
        <f t="shared" si="11"/>
        <v>Karen H.</v>
      </c>
      <c r="F91" s="34" t="str">
        <f t="shared" si="12"/>
        <v>KAREN HILL</v>
      </c>
      <c r="G91" s="34" t="str">
        <f t="shared" si="13"/>
        <v>karen hill</v>
      </c>
      <c r="H91" s="34" t="str">
        <f t="shared" si="14"/>
        <v>Karen Hill</v>
      </c>
      <c r="I91" s="34">
        <f t="shared" si="15"/>
        <v>10</v>
      </c>
      <c r="J91" s="34" t="str">
        <f>IF('Final Project Dataset'!G91="Electronics","ELEC",IF('Final Project Dataset'!G91="Furniture","FURN",IF('Final Project Dataset'!G91="Appliances","APPL","")))</f>
        <v>ELEC</v>
      </c>
      <c r="K91" s="34" t="str">
        <f>IF('Final Project Dataset'!K91="North","N",IF('Final Project Dataset'!K91="South","S",IF('Final Project Dataset'!K91="East","E",IF('Final Project Dataset'!K91="West","W",IF('Final Project Dataset'!K91="Central","C","")))))</f>
        <v>N</v>
      </c>
      <c r="L91" s="34" t="str">
        <f>IF('Final Project Dataset'!L91="Premium","PREM",IF('Final Project Dataset'!L91="Standard","STND",IF('Final Project Dataset'!L91="Basic","BASC","")))</f>
        <v>PREM</v>
      </c>
      <c r="M91" s="34" t="str">
        <f>IF('Final Project Dataset'!J91="Credit Card","CC",IF('Final Project Dataset'!J91="Debit Card","DC",IF('Final Project Dataset'!J91="PayPal","PP",IF('Final Project Dataset'!J91="Cash","CSH",""))))</f>
        <v>PP</v>
      </c>
    </row>
    <row r="92" spans="1:13">
      <c r="A92" s="34" t="str">
        <f>'Final Project Dataset'!D92</f>
        <v>Kathleen Bennett</v>
      </c>
      <c r="B92" s="34" t="str">
        <f t="shared" si="8"/>
        <v>Kathleen</v>
      </c>
      <c r="C92" s="34" t="str">
        <f t="shared" si="9"/>
        <v>Bennett</v>
      </c>
      <c r="D92" s="34" t="str">
        <f t="shared" si="10"/>
        <v>K.B.</v>
      </c>
      <c r="E92" s="34" t="str">
        <f t="shared" si="11"/>
        <v>Kathleen B.</v>
      </c>
      <c r="F92" s="34" t="str">
        <f t="shared" si="12"/>
        <v>KATHLEEN BENNETT</v>
      </c>
      <c r="G92" s="34" t="str">
        <f t="shared" si="13"/>
        <v>kathleen bennett</v>
      </c>
      <c r="H92" s="34" t="str">
        <f t="shared" si="14"/>
        <v>Kathleen Bennett</v>
      </c>
      <c r="I92" s="34">
        <f t="shared" si="15"/>
        <v>16</v>
      </c>
      <c r="J92" s="34" t="str">
        <f>IF('Final Project Dataset'!G92="Electronics","ELEC",IF('Final Project Dataset'!G92="Furniture","FURN",IF('Final Project Dataset'!G92="Appliances","APPL","")))</f>
        <v>FURN</v>
      </c>
      <c r="K92" s="34" t="str">
        <f>IF('Final Project Dataset'!K92="North","N",IF('Final Project Dataset'!K92="South","S",IF('Final Project Dataset'!K92="East","E",IF('Final Project Dataset'!K92="West","W",IF('Final Project Dataset'!K92="Central","C","")))))</f>
        <v>N</v>
      </c>
      <c r="L92" s="34" t="str">
        <f>IF('Final Project Dataset'!L92="Premium","PREM",IF('Final Project Dataset'!L92="Standard","STND",IF('Final Project Dataset'!L92="Basic","BASC","")))</f>
        <v>STND</v>
      </c>
      <c r="M92" s="34" t="str">
        <f>IF('Final Project Dataset'!J92="Credit Card","CC",IF('Final Project Dataset'!J92="Debit Card","DC",IF('Final Project Dataset'!J92="PayPal","PP",IF('Final Project Dataset'!J92="Cash","CSH",""))))</f>
        <v>CSH</v>
      </c>
    </row>
    <row r="93" spans="1:13">
      <c r="A93" s="34" t="str">
        <f>'Final Project Dataset'!D93</f>
        <v>Betty Campbell</v>
      </c>
      <c r="B93" s="34" t="str">
        <f t="shared" si="8"/>
        <v>Betty</v>
      </c>
      <c r="C93" s="34" t="str">
        <f t="shared" si="9"/>
        <v>Campbell</v>
      </c>
      <c r="D93" s="34" t="str">
        <f t="shared" si="10"/>
        <v>B.C.</v>
      </c>
      <c r="E93" s="34" t="str">
        <f t="shared" si="11"/>
        <v>Betty C.</v>
      </c>
      <c r="F93" s="34" t="str">
        <f t="shared" si="12"/>
        <v>BETTY CAMPBELL</v>
      </c>
      <c r="G93" s="34" t="str">
        <f t="shared" si="13"/>
        <v>betty campbell</v>
      </c>
      <c r="H93" s="34" t="str">
        <f t="shared" si="14"/>
        <v>Betty Campbell</v>
      </c>
      <c r="I93" s="34">
        <f t="shared" si="15"/>
        <v>14</v>
      </c>
      <c r="J93" s="34" t="str">
        <f>IF('Final Project Dataset'!G93="Electronics","ELEC",IF('Final Project Dataset'!G93="Furniture","FURN",IF('Final Project Dataset'!G93="Appliances","APPL","")))</f>
        <v>FURN</v>
      </c>
      <c r="K93" s="34" t="str">
        <f>IF('Final Project Dataset'!K93="North","N",IF('Final Project Dataset'!K93="South","S",IF('Final Project Dataset'!K93="East","E",IF('Final Project Dataset'!K93="West","W",IF('Final Project Dataset'!K93="Central","C","")))))</f>
        <v>N</v>
      </c>
      <c r="L93" s="34" t="str">
        <f>IF('Final Project Dataset'!L93="Premium","PREM",IF('Final Project Dataset'!L93="Standard","STND",IF('Final Project Dataset'!L93="Basic","BASC","")))</f>
        <v>PREM</v>
      </c>
      <c r="M93" s="34" t="str">
        <f>IF('Final Project Dataset'!J93="Credit Card","CC",IF('Final Project Dataset'!J93="Debit Card","DC",IF('Final Project Dataset'!J93="PayPal","PP",IF('Final Project Dataset'!J93="Cash","CSH",""))))</f>
        <v>CSH</v>
      </c>
    </row>
    <row r="94" spans="1:13">
      <c r="A94" s="34" t="str">
        <f>'Final Project Dataset'!D94</f>
        <v>Mark Carter</v>
      </c>
      <c r="B94" s="34" t="str">
        <f t="shared" si="8"/>
        <v>Mark</v>
      </c>
      <c r="C94" s="34" t="str">
        <f t="shared" si="9"/>
        <v>Carter</v>
      </c>
      <c r="D94" s="34" t="str">
        <f t="shared" si="10"/>
        <v>M.C.</v>
      </c>
      <c r="E94" s="34" t="str">
        <f t="shared" si="11"/>
        <v>Mark C.</v>
      </c>
      <c r="F94" s="34" t="str">
        <f t="shared" si="12"/>
        <v>MARK CARTER</v>
      </c>
      <c r="G94" s="34" t="str">
        <f t="shared" si="13"/>
        <v>mark carter</v>
      </c>
      <c r="H94" s="34" t="str">
        <f t="shared" si="14"/>
        <v>Mark Carter</v>
      </c>
      <c r="I94" s="34">
        <f t="shared" si="15"/>
        <v>11</v>
      </c>
      <c r="J94" s="34" t="str">
        <f>IF('Final Project Dataset'!G94="Electronics","ELEC",IF('Final Project Dataset'!G94="Furniture","FURN",IF('Final Project Dataset'!G94="Appliances","APPL","")))</f>
        <v>ELEC</v>
      </c>
      <c r="K94" s="34" t="str">
        <f>IF('Final Project Dataset'!K94="North","N",IF('Final Project Dataset'!K94="South","S",IF('Final Project Dataset'!K94="East","E",IF('Final Project Dataset'!K94="West","W",IF('Final Project Dataset'!K94="Central","C","")))))</f>
        <v>E</v>
      </c>
      <c r="L94" s="34" t="str">
        <f>IF('Final Project Dataset'!L94="Premium","PREM",IF('Final Project Dataset'!L94="Standard","STND",IF('Final Project Dataset'!L94="Basic","BASC","")))</f>
        <v>PREM</v>
      </c>
      <c r="M94" s="34" t="str">
        <f>IF('Final Project Dataset'!J94="Credit Card","CC",IF('Final Project Dataset'!J94="Debit Card","DC",IF('Final Project Dataset'!J94="PayPal","PP",IF('Final Project Dataset'!J94="Cash","CSH",""))))</f>
        <v>CSH</v>
      </c>
    </row>
    <row r="95" spans="1:13">
      <c r="A95" s="34" t="str">
        <f>'Final Project Dataset'!D95</f>
        <v>Gerald Murphy</v>
      </c>
      <c r="B95" s="34" t="str">
        <f t="shared" si="8"/>
        <v>Gerald</v>
      </c>
      <c r="C95" s="34" t="str">
        <f t="shared" si="9"/>
        <v>Murphy</v>
      </c>
      <c r="D95" s="34" t="str">
        <f t="shared" si="10"/>
        <v>G.M.</v>
      </c>
      <c r="E95" s="34" t="str">
        <f t="shared" si="11"/>
        <v>Gerald M.</v>
      </c>
      <c r="F95" s="34" t="str">
        <f t="shared" si="12"/>
        <v>GERALD MURPHY</v>
      </c>
      <c r="G95" s="34" t="str">
        <f t="shared" si="13"/>
        <v>gerald murphy</v>
      </c>
      <c r="H95" s="34" t="str">
        <f t="shared" si="14"/>
        <v>Gerald Murphy</v>
      </c>
      <c r="I95" s="34">
        <f t="shared" si="15"/>
        <v>13</v>
      </c>
      <c r="J95" s="34" t="str">
        <f>IF('Final Project Dataset'!G95="Electronics","ELEC",IF('Final Project Dataset'!G95="Furniture","FURN",IF('Final Project Dataset'!G95="Appliances","APPL","")))</f>
        <v>ELEC</v>
      </c>
      <c r="K95" s="34" t="str">
        <f>IF('Final Project Dataset'!K95="North","N",IF('Final Project Dataset'!K95="South","S",IF('Final Project Dataset'!K95="East","E",IF('Final Project Dataset'!K95="West","W",IF('Final Project Dataset'!K95="Central","C","")))))</f>
        <v>E</v>
      </c>
      <c r="L95" s="34" t="str">
        <f>IF('Final Project Dataset'!L95="Premium","PREM",IF('Final Project Dataset'!L95="Standard","STND",IF('Final Project Dataset'!L95="Basic","BASC","")))</f>
        <v>BASC</v>
      </c>
      <c r="M95" s="34" t="str">
        <f>IF('Final Project Dataset'!J95="Credit Card","CC",IF('Final Project Dataset'!J95="Debit Card","DC",IF('Final Project Dataset'!J95="PayPal","PP",IF('Final Project Dataset'!J95="Cash","CSH",""))))</f>
        <v>DC</v>
      </c>
    </row>
    <row r="96" spans="1:13">
      <c r="A96" s="34" t="str">
        <f>'Final Project Dataset'!D96</f>
        <v>Nancy Collins</v>
      </c>
      <c r="B96" s="34" t="str">
        <f t="shared" si="8"/>
        <v>Nancy</v>
      </c>
      <c r="C96" s="34" t="str">
        <f t="shared" si="9"/>
        <v>Collins</v>
      </c>
      <c r="D96" s="34" t="str">
        <f t="shared" si="10"/>
        <v>N.C.</v>
      </c>
      <c r="E96" s="34" t="str">
        <f t="shared" si="11"/>
        <v>Nancy C.</v>
      </c>
      <c r="F96" s="34" t="str">
        <f t="shared" si="12"/>
        <v>NANCY COLLINS</v>
      </c>
      <c r="G96" s="34" t="str">
        <f t="shared" si="13"/>
        <v>nancy collins</v>
      </c>
      <c r="H96" s="34" t="str">
        <f t="shared" si="14"/>
        <v>Nancy Collins</v>
      </c>
      <c r="I96" s="34">
        <f t="shared" si="15"/>
        <v>13</v>
      </c>
      <c r="J96" s="34" t="str">
        <f>IF('Final Project Dataset'!G96="Electronics","ELEC",IF('Final Project Dataset'!G96="Furniture","FURN",IF('Final Project Dataset'!G96="Appliances","APPL","")))</f>
        <v>ELEC</v>
      </c>
      <c r="K96" s="34" t="str">
        <f>IF('Final Project Dataset'!K96="North","N",IF('Final Project Dataset'!K96="South","S",IF('Final Project Dataset'!K96="East","E",IF('Final Project Dataset'!K96="West","W",IF('Final Project Dataset'!K96="Central","C","")))))</f>
        <v>E</v>
      </c>
      <c r="L96" s="34" t="str">
        <f>IF('Final Project Dataset'!L96="Premium","PREM",IF('Final Project Dataset'!L96="Standard","STND",IF('Final Project Dataset'!L96="Basic","BASC","")))</f>
        <v>BASC</v>
      </c>
      <c r="M96" s="34" t="str">
        <f>IF('Final Project Dataset'!J96="Credit Card","CC",IF('Final Project Dataset'!J96="Debit Card","DC",IF('Final Project Dataset'!J96="PayPal","PP",IF('Final Project Dataset'!J96="Cash","CSH",""))))</f>
        <v>PP</v>
      </c>
    </row>
    <row r="97" spans="1:13">
      <c r="A97" s="34" t="str">
        <f>'Final Project Dataset'!D97</f>
        <v>Cynthia Price</v>
      </c>
      <c r="B97" s="34" t="str">
        <f t="shared" si="8"/>
        <v>Cynthia</v>
      </c>
      <c r="C97" s="34" t="str">
        <f t="shared" si="9"/>
        <v>Price</v>
      </c>
      <c r="D97" s="34" t="str">
        <f t="shared" si="10"/>
        <v>C.P.</v>
      </c>
      <c r="E97" s="34" t="str">
        <f t="shared" si="11"/>
        <v>Cynthia P.</v>
      </c>
      <c r="F97" s="34" t="str">
        <f t="shared" si="12"/>
        <v>CYNTHIA PRICE</v>
      </c>
      <c r="G97" s="34" t="str">
        <f t="shared" si="13"/>
        <v>cynthia price</v>
      </c>
      <c r="H97" s="34" t="str">
        <f t="shared" si="14"/>
        <v>Cynthia Price</v>
      </c>
      <c r="I97" s="34">
        <f t="shared" si="15"/>
        <v>13</v>
      </c>
      <c r="J97" s="34" t="str">
        <f>IF('Final Project Dataset'!G97="Electronics","ELEC",IF('Final Project Dataset'!G97="Furniture","FURN",IF('Final Project Dataset'!G97="Appliances","APPL","")))</f>
        <v>FURN</v>
      </c>
      <c r="K97" s="34" t="str">
        <f>IF('Final Project Dataset'!K97="North","N",IF('Final Project Dataset'!K97="South","S",IF('Final Project Dataset'!K97="East","E",IF('Final Project Dataset'!K97="West","W",IF('Final Project Dataset'!K97="Central","C","")))))</f>
        <v>C</v>
      </c>
      <c r="L97" s="34" t="str">
        <f>IF('Final Project Dataset'!L97="Premium","PREM",IF('Final Project Dataset'!L97="Standard","STND",IF('Final Project Dataset'!L97="Basic","BASC","")))</f>
        <v>BASC</v>
      </c>
      <c r="M97" s="34" t="str">
        <f>IF('Final Project Dataset'!J97="Credit Card","CC",IF('Final Project Dataset'!J97="Debit Card","DC",IF('Final Project Dataset'!J97="PayPal","PP",IF('Final Project Dataset'!J97="Cash","CSH",""))))</f>
        <v>CC</v>
      </c>
    </row>
    <row r="98" spans="1:13">
      <c r="A98" s="34" t="str">
        <f>'Final Project Dataset'!D98</f>
        <v>Lawrence Reed</v>
      </c>
      <c r="B98" s="34" t="str">
        <f t="shared" si="8"/>
        <v>Lawrence</v>
      </c>
      <c r="C98" s="34" t="str">
        <f t="shared" si="9"/>
        <v>Reed</v>
      </c>
      <c r="D98" s="34" t="str">
        <f t="shared" si="10"/>
        <v>L.R.</v>
      </c>
      <c r="E98" s="34" t="str">
        <f t="shared" si="11"/>
        <v>Lawrence R.</v>
      </c>
      <c r="F98" s="34" t="str">
        <f t="shared" si="12"/>
        <v>LAWRENCE REED</v>
      </c>
      <c r="G98" s="34" t="str">
        <f t="shared" si="13"/>
        <v>lawrence reed</v>
      </c>
      <c r="H98" s="34" t="str">
        <f t="shared" si="14"/>
        <v>Lawrence Reed</v>
      </c>
      <c r="I98" s="34">
        <f t="shared" si="15"/>
        <v>13</v>
      </c>
      <c r="J98" s="34" t="str">
        <f>IF('Final Project Dataset'!G98="Electronics","ELEC",IF('Final Project Dataset'!G98="Furniture","FURN",IF('Final Project Dataset'!G98="Appliances","APPL","")))</f>
        <v>APPL</v>
      </c>
      <c r="K98" s="34" t="str">
        <f>IF('Final Project Dataset'!K98="North","N",IF('Final Project Dataset'!K98="South","S",IF('Final Project Dataset'!K98="East","E",IF('Final Project Dataset'!K98="West","W",IF('Final Project Dataset'!K98="Central","C","")))))</f>
        <v>C</v>
      </c>
      <c r="L98" s="34" t="str">
        <f>IF('Final Project Dataset'!L98="Premium","PREM",IF('Final Project Dataset'!L98="Standard","STND",IF('Final Project Dataset'!L98="Basic","BASC","")))</f>
        <v>PREM</v>
      </c>
      <c r="M98" s="34" t="str">
        <f>IF('Final Project Dataset'!J98="Credit Card","CC",IF('Final Project Dataset'!J98="Debit Card","DC",IF('Final Project Dataset'!J98="PayPal","PP",IF('Final Project Dataset'!J98="Cash","CSH",""))))</f>
        <v>CSH</v>
      </c>
    </row>
    <row r="99" spans="1:13">
      <c r="A99" s="34" t="str">
        <f>'Final Project Dataset'!D99</f>
        <v>Harry Morgan</v>
      </c>
      <c r="B99" s="34" t="str">
        <f t="shared" si="8"/>
        <v>Harry</v>
      </c>
      <c r="C99" s="34" t="str">
        <f t="shared" si="9"/>
        <v>Morgan</v>
      </c>
      <c r="D99" s="34" t="str">
        <f t="shared" si="10"/>
        <v>H.M.</v>
      </c>
      <c r="E99" s="34" t="str">
        <f t="shared" si="11"/>
        <v>Harry M.</v>
      </c>
      <c r="F99" s="34" t="str">
        <f t="shared" si="12"/>
        <v>HARRY MORGAN</v>
      </c>
      <c r="G99" s="34" t="str">
        <f t="shared" si="13"/>
        <v>harry morgan</v>
      </c>
      <c r="H99" s="34" t="str">
        <f t="shared" si="14"/>
        <v>Harry Morgan</v>
      </c>
      <c r="I99" s="34">
        <f t="shared" si="15"/>
        <v>12</v>
      </c>
      <c r="J99" s="34" t="str">
        <f>IF('Final Project Dataset'!G99="Electronics","ELEC",IF('Final Project Dataset'!G99="Furniture","FURN",IF('Final Project Dataset'!G99="Appliances","APPL","")))</f>
        <v>ELEC</v>
      </c>
      <c r="K99" s="34" t="str">
        <f>IF('Final Project Dataset'!K99="North","N",IF('Final Project Dataset'!K99="South","S",IF('Final Project Dataset'!K99="East","E",IF('Final Project Dataset'!K99="West","W",IF('Final Project Dataset'!K99="Central","C","")))))</f>
        <v>S</v>
      </c>
      <c r="L99" s="34" t="str">
        <f>IF('Final Project Dataset'!L99="Premium","PREM",IF('Final Project Dataset'!L99="Standard","STND",IF('Final Project Dataset'!L99="Basic","BASC","")))</f>
        <v>STND</v>
      </c>
      <c r="M99" s="34" t="str">
        <f>IF('Final Project Dataset'!J99="Credit Card","CC",IF('Final Project Dataset'!J99="Debit Card","DC",IF('Final Project Dataset'!J99="PayPal","PP",IF('Final Project Dataset'!J99="Cash","CSH",""))))</f>
        <v>CSH</v>
      </c>
    </row>
    <row r="100" spans="1:13">
      <c r="A100" s="34" t="str">
        <f>'Final Project Dataset'!D100</f>
        <v>Gerald Murphy</v>
      </c>
      <c r="B100" s="34" t="str">
        <f t="shared" si="8"/>
        <v>Gerald</v>
      </c>
      <c r="C100" s="34" t="str">
        <f t="shared" si="9"/>
        <v>Murphy</v>
      </c>
      <c r="D100" s="34" t="str">
        <f t="shared" si="10"/>
        <v>G.M.</v>
      </c>
      <c r="E100" s="34" t="str">
        <f t="shared" si="11"/>
        <v>Gerald M.</v>
      </c>
      <c r="F100" s="34" t="str">
        <f t="shared" si="12"/>
        <v>GERALD MURPHY</v>
      </c>
      <c r="G100" s="34" t="str">
        <f t="shared" si="13"/>
        <v>gerald murphy</v>
      </c>
      <c r="H100" s="34" t="str">
        <f t="shared" si="14"/>
        <v>Gerald Murphy</v>
      </c>
      <c r="I100" s="34">
        <f t="shared" si="15"/>
        <v>13</v>
      </c>
      <c r="J100" s="34" t="str">
        <f>IF('Final Project Dataset'!G100="Electronics","ELEC",IF('Final Project Dataset'!G100="Furniture","FURN",IF('Final Project Dataset'!G100="Appliances","APPL","")))</f>
        <v>ELEC</v>
      </c>
      <c r="K100" s="34" t="str">
        <f>IF('Final Project Dataset'!K100="North","N",IF('Final Project Dataset'!K100="South","S",IF('Final Project Dataset'!K100="East","E",IF('Final Project Dataset'!K100="West","W",IF('Final Project Dataset'!K100="Central","C","")))))</f>
        <v>C</v>
      </c>
      <c r="L100" s="34" t="str">
        <f>IF('Final Project Dataset'!L100="Premium","PREM",IF('Final Project Dataset'!L100="Standard","STND",IF('Final Project Dataset'!L100="Basic","BASC","")))</f>
        <v>PREM</v>
      </c>
      <c r="M100" s="34" t="str">
        <f>IF('Final Project Dataset'!J100="Credit Card","CC",IF('Final Project Dataset'!J100="Debit Card","DC",IF('Final Project Dataset'!J100="PayPal","PP",IF('Final Project Dataset'!J100="Cash","CSH",""))))</f>
        <v>CSH</v>
      </c>
    </row>
    <row r="101" spans="1:13">
      <c r="A101" s="34" t="str">
        <f>'Final Project Dataset'!D101</f>
        <v>Carol Evans</v>
      </c>
      <c r="B101" s="34" t="str">
        <f t="shared" si="8"/>
        <v>Carol</v>
      </c>
      <c r="C101" s="34" t="str">
        <f t="shared" si="9"/>
        <v>Evans</v>
      </c>
      <c r="D101" s="34" t="str">
        <f t="shared" si="10"/>
        <v>C.E.</v>
      </c>
      <c r="E101" s="34" t="str">
        <f t="shared" si="11"/>
        <v>Carol E.</v>
      </c>
      <c r="F101" s="34" t="str">
        <f t="shared" si="12"/>
        <v>CAROL EVANS</v>
      </c>
      <c r="G101" s="34" t="str">
        <f t="shared" si="13"/>
        <v>carol evans</v>
      </c>
      <c r="H101" s="34" t="str">
        <f t="shared" si="14"/>
        <v>Carol Evans</v>
      </c>
      <c r="I101" s="34">
        <f t="shared" si="15"/>
        <v>11</v>
      </c>
      <c r="J101" s="34" t="str">
        <f>IF('Final Project Dataset'!G101="Electronics","ELEC",IF('Final Project Dataset'!G101="Furniture","FURN",IF('Final Project Dataset'!G101="Appliances","APPL","")))</f>
        <v>ELEC</v>
      </c>
      <c r="K101" s="34" t="str">
        <f>IF('Final Project Dataset'!K101="North","N",IF('Final Project Dataset'!K101="South","S",IF('Final Project Dataset'!K101="East","E",IF('Final Project Dataset'!K101="West","W",IF('Final Project Dataset'!K101="Central","C","")))))</f>
        <v>W</v>
      </c>
      <c r="L101" s="34" t="str">
        <f>IF('Final Project Dataset'!L101="Premium","PREM",IF('Final Project Dataset'!L101="Standard","STND",IF('Final Project Dataset'!L101="Basic","BASC","")))</f>
        <v>PREM</v>
      </c>
      <c r="M101" s="34" t="str">
        <f>IF('Final Project Dataset'!J101="Credit Card","CC",IF('Final Project Dataset'!J101="Debit Card","DC",IF('Final Project Dataset'!J101="PayPal","PP",IF('Final Project Dataset'!J101="Cash","CSH",""))))</f>
        <v>CSH</v>
      </c>
    </row>
    <row r="102" spans="1:13">
      <c r="A102" s="34" t="str">
        <f>'Final Project Dataset'!D102</f>
        <v>Sandra Phillips</v>
      </c>
      <c r="B102" s="34" t="str">
        <f t="shared" si="8"/>
        <v>Sandra</v>
      </c>
      <c r="C102" s="34" t="str">
        <f t="shared" si="9"/>
        <v>Phillips</v>
      </c>
      <c r="D102" s="34" t="str">
        <f t="shared" si="10"/>
        <v>S.P.</v>
      </c>
      <c r="E102" s="34" t="str">
        <f t="shared" si="11"/>
        <v>Sandra P.</v>
      </c>
      <c r="F102" s="34" t="str">
        <f t="shared" si="12"/>
        <v>SANDRA PHILLIPS</v>
      </c>
      <c r="G102" s="34" t="str">
        <f t="shared" si="13"/>
        <v>sandra phillips</v>
      </c>
      <c r="H102" s="34" t="str">
        <f t="shared" si="14"/>
        <v>Sandra Phillips</v>
      </c>
      <c r="I102" s="34">
        <f t="shared" si="15"/>
        <v>15</v>
      </c>
      <c r="J102" s="34" t="str">
        <f>IF('Final Project Dataset'!G102="Electronics","ELEC",IF('Final Project Dataset'!G102="Furniture","FURN",IF('Final Project Dataset'!G102="Appliances","APPL","")))</f>
        <v>ELEC</v>
      </c>
      <c r="K102" s="34" t="str">
        <f>IF('Final Project Dataset'!K102="North","N",IF('Final Project Dataset'!K102="South","S",IF('Final Project Dataset'!K102="East","E",IF('Final Project Dataset'!K102="West","W",IF('Final Project Dataset'!K102="Central","C","")))))</f>
        <v>N</v>
      </c>
      <c r="L102" s="34" t="str">
        <f>IF('Final Project Dataset'!L102="Premium","PREM",IF('Final Project Dataset'!L102="Standard","STND",IF('Final Project Dataset'!L102="Basic","BASC","")))</f>
        <v>PREM</v>
      </c>
      <c r="M102" s="34" t="str">
        <f>IF('Final Project Dataset'!J102="Credit Card","CC",IF('Final Project Dataset'!J102="Debit Card","DC",IF('Final Project Dataset'!J102="PayPal","PP",IF('Final Project Dataset'!J102="Cash","CSH",""))))</f>
        <v>CC</v>
      </c>
    </row>
    <row r="103" spans="1:13">
      <c r="A103" s="34" t="str">
        <f>'Final Project Dataset'!D103</f>
        <v>Carol Evans</v>
      </c>
      <c r="B103" s="34" t="str">
        <f t="shared" si="8"/>
        <v>Carol</v>
      </c>
      <c r="C103" s="34" t="str">
        <f t="shared" si="9"/>
        <v>Evans</v>
      </c>
      <c r="D103" s="34" t="str">
        <f t="shared" si="10"/>
        <v>C.E.</v>
      </c>
      <c r="E103" s="34" t="str">
        <f t="shared" si="11"/>
        <v>Carol E.</v>
      </c>
      <c r="F103" s="34" t="str">
        <f t="shared" si="12"/>
        <v>CAROL EVANS</v>
      </c>
      <c r="G103" s="34" t="str">
        <f t="shared" si="13"/>
        <v>carol evans</v>
      </c>
      <c r="H103" s="34" t="str">
        <f t="shared" si="14"/>
        <v>Carol Evans</v>
      </c>
      <c r="I103" s="34">
        <f t="shared" si="15"/>
        <v>11</v>
      </c>
      <c r="J103" s="34" t="str">
        <f>IF('Final Project Dataset'!G103="Electronics","ELEC",IF('Final Project Dataset'!G103="Furniture","FURN",IF('Final Project Dataset'!G103="Appliances","APPL","")))</f>
        <v>ELEC</v>
      </c>
      <c r="K103" s="34" t="str">
        <f>IF('Final Project Dataset'!K103="North","N",IF('Final Project Dataset'!K103="South","S",IF('Final Project Dataset'!K103="East","E",IF('Final Project Dataset'!K103="West","W",IF('Final Project Dataset'!K103="Central","C","")))))</f>
        <v>W</v>
      </c>
      <c r="L103" s="34" t="str">
        <f>IF('Final Project Dataset'!L103="Premium","PREM",IF('Final Project Dataset'!L103="Standard","STND",IF('Final Project Dataset'!L103="Basic","BASC","")))</f>
        <v>PREM</v>
      </c>
      <c r="M103" s="34" t="str">
        <f>IF('Final Project Dataset'!J103="Credit Card","CC",IF('Final Project Dataset'!J103="Debit Card","DC",IF('Final Project Dataset'!J103="PayPal","PP",IF('Final Project Dataset'!J103="Cash","CSH",""))))</f>
        <v>CC</v>
      </c>
    </row>
    <row r="104" spans="1:13">
      <c r="A104" s="34" t="str">
        <f>'Final Project Dataset'!D104</f>
        <v>Paul Baker</v>
      </c>
      <c r="B104" s="34" t="str">
        <f t="shared" si="8"/>
        <v>Paul</v>
      </c>
      <c r="C104" s="34" t="str">
        <f t="shared" si="9"/>
        <v>Baker</v>
      </c>
      <c r="D104" s="34" t="str">
        <f t="shared" si="10"/>
        <v>P.B.</v>
      </c>
      <c r="E104" s="34" t="str">
        <f t="shared" si="11"/>
        <v>Paul B.</v>
      </c>
      <c r="F104" s="34" t="str">
        <f t="shared" si="12"/>
        <v>PAUL BAKER</v>
      </c>
      <c r="G104" s="34" t="str">
        <f t="shared" si="13"/>
        <v>paul baker</v>
      </c>
      <c r="H104" s="34" t="str">
        <f t="shared" si="14"/>
        <v>Paul Baker</v>
      </c>
      <c r="I104" s="34">
        <f t="shared" si="15"/>
        <v>10</v>
      </c>
      <c r="J104" s="34" t="str">
        <f>IF('Final Project Dataset'!G104="Electronics","ELEC",IF('Final Project Dataset'!G104="Furniture","FURN",IF('Final Project Dataset'!G104="Appliances","APPL","")))</f>
        <v>ELEC</v>
      </c>
      <c r="K104" s="34" t="str">
        <f>IF('Final Project Dataset'!K104="North","N",IF('Final Project Dataset'!K104="South","S",IF('Final Project Dataset'!K104="East","E",IF('Final Project Dataset'!K104="West","W",IF('Final Project Dataset'!K104="Central","C","")))))</f>
        <v>N</v>
      </c>
      <c r="L104" s="34" t="str">
        <f>IF('Final Project Dataset'!L104="Premium","PREM",IF('Final Project Dataset'!L104="Standard","STND",IF('Final Project Dataset'!L104="Basic","BASC","")))</f>
        <v>PREM</v>
      </c>
      <c r="M104" s="34" t="str">
        <f>IF('Final Project Dataset'!J104="Credit Card","CC",IF('Final Project Dataset'!J104="Debit Card","DC",IF('Final Project Dataset'!J104="PayPal","PP",IF('Final Project Dataset'!J104="Cash","CSH",""))))</f>
        <v>DC</v>
      </c>
    </row>
    <row r="105" spans="1:13">
      <c r="A105" s="34" t="str">
        <f>'Final Project Dataset'!D105</f>
        <v>Lawrence Reed</v>
      </c>
      <c r="B105" s="34" t="str">
        <f t="shared" si="8"/>
        <v>Lawrence</v>
      </c>
      <c r="C105" s="34" t="str">
        <f t="shared" si="9"/>
        <v>Reed</v>
      </c>
      <c r="D105" s="34" t="str">
        <f t="shared" si="10"/>
        <v>L.R.</v>
      </c>
      <c r="E105" s="34" t="str">
        <f t="shared" si="11"/>
        <v>Lawrence R.</v>
      </c>
      <c r="F105" s="34" t="str">
        <f t="shared" si="12"/>
        <v>LAWRENCE REED</v>
      </c>
      <c r="G105" s="34" t="str">
        <f t="shared" si="13"/>
        <v>lawrence reed</v>
      </c>
      <c r="H105" s="34" t="str">
        <f t="shared" si="14"/>
        <v>Lawrence Reed</v>
      </c>
      <c r="I105" s="34">
        <f t="shared" si="15"/>
        <v>13</v>
      </c>
      <c r="J105" s="34" t="str">
        <f>IF('Final Project Dataset'!G105="Electronics","ELEC",IF('Final Project Dataset'!G105="Furniture","FURN",IF('Final Project Dataset'!G105="Appliances","APPL","")))</f>
        <v>ELEC</v>
      </c>
      <c r="K105" s="34" t="str">
        <f>IF('Final Project Dataset'!K105="North","N",IF('Final Project Dataset'!K105="South","S",IF('Final Project Dataset'!K105="East","E",IF('Final Project Dataset'!K105="West","W",IF('Final Project Dataset'!K105="Central","C","")))))</f>
        <v>C</v>
      </c>
      <c r="L105" s="34" t="str">
        <f>IF('Final Project Dataset'!L105="Premium","PREM",IF('Final Project Dataset'!L105="Standard","STND",IF('Final Project Dataset'!L105="Basic","BASC","")))</f>
        <v>PREM</v>
      </c>
      <c r="M105" s="34" t="str">
        <f>IF('Final Project Dataset'!J105="Credit Card","CC",IF('Final Project Dataset'!J105="Debit Card","DC",IF('Final Project Dataset'!J105="PayPal","PP",IF('Final Project Dataset'!J105="Cash","CSH",""))))</f>
        <v>DC</v>
      </c>
    </row>
    <row r="106" spans="1:13">
      <c r="A106" s="34" t="str">
        <f>'Final Project Dataset'!D106</f>
        <v>Steven Turner</v>
      </c>
      <c r="B106" s="34" t="str">
        <f t="shared" si="8"/>
        <v>Steven</v>
      </c>
      <c r="C106" s="34" t="str">
        <f t="shared" si="9"/>
        <v>Turner</v>
      </c>
      <c r="D106" s="34" t="str">
        <f t="shared" si="10"/>
        <v>S.T.</v>
      </c>
      <c r="E106" s="34" t="str">
        <f t="shared" si="11"/>
        <v>Steven T.</v>
      </c>
      <c r="F106" s="34" t="str">
        <f t="shared" si="12"/>
        <v>STEVEN TURNER</v>
      </c>
      <c r="G106" s="34" t="str">
        <f t="shared" si="13"/>
        <v>steven turner</v>
      </c>
      <c r="H106" s="34" t="str">
        <f t="shared" si="14"/>
        <v>Steven Turner</v>
      </c>
      <c r="I106" s="34">
        <f t="shared" si="15"/>
        <v>13</v>
      </c>
      <c r="J106" s="34" t="str">
        <f>IF('Final Project Dataset'!G106="Electronics","ELEC",IF('Final Project Dataset'!G106="Furniture","FURN",IF('Final Project Dataset'!G106="Appliances","APPL","")))</f>
        <v>APPL</v>
      </c>
      <c r="K106" s="34" t="str">
        <f>IF('Final Project Dataset'!K106="North","N",IF('Final Project Dataset'!K106="South","S",IF('Final Project Dataset'!K106="East","E",IF('Final Project Dataset'!K106="West","W",IF('Final Project Dataset'!K106="Central","C","")))))</f>
        <v>C</v>
      </c>
      <c r="L106" s="34" t="str">
        <f>IF('Final Project Dataset'!L106="Premium","PREM",IF('Final Project Dataset'!L106="Standard","STND",IF('Final Project Dataset'!L106="Basic","BASC","")))</f>
        <v>PREM</v>
      </c>
      <c r="M106" s="34" t="str">
        <f>IF('Final Project Dataset'!J106="Credit Card","CC",IF('Final Project Dataset'!J106="Debit Card","DC",IF('Final Project Dataset'!J106="PayPal","PP",IF('Final Project Dataset'!J106="Cash","CSH",""))))</f>
        <v>CC</v>
      </c>
    </row>
    <row r="107" spans="1:13">
      <c r="A107" s="34" t="str">
        <f>'Final Project Dataset'!D107</f>
        <v>Emma Wilson</v>
      </c>
      <c r="B107" s="34" t="str">
        <f t="shared" si="8"/>
        <v>Emma</v>
      </c>
      <c r="C107" s="34" t="str">
        <f t="shared" si="9"/>
        <v>Wilson</v>
      </c>
      <c r="D107" s="34" t="str">
        <f t="shared" si="10"/>
        <v>E.W.</v>
      </c>
      <c r="E107" s="34" t="str">
        <f t="shared" si="11"/>
        <v>Emma W.</v>
      </c>
      <c r="F107" s="34" t="str">
        <f t="shared" si="12"/>
        <v>EMMA WILSON</v>
      </c>
      <c r="G107" s="34" t="str">
        <f t="shared" si="13"/>
        <v>emma wilson</v>
      </c>
      <c r="H107" s="34" t="str">
        <f t="shared" si="14"/>
        <v>Emma Wilson</v>
      </c>
      <c r="I107" s="34">
        <f t="shared" si="15"/>
        <v>11</v>
      </c>
      <c r="J107" s="34" t="str">
        <f>IF('Final Project Dataset'!G107="Electronics","ELEC",IF('Final Project Dataset'!G107="Furniture","FURN",IF('Final Project Dataset'!G107="Appliances","APPL","")))</f>
        <v>APPL</v>
      </c>
      <c r="K107" s="34" t="str">
        <f>IF('Final Project Dataset'!K107="North","N",IF('Final Project Dataset'!K107="South","S",IF('Final Project Dataset'!K107="East","E",IF('Final Project Dataset'!K107="West","W",IF('Final Project Dataset'!K107="Central","C","")))))</f>
        <v>E</v>
      </c>
      <c r="L107" s="34" t="str">
        <f>IF('Final Project Dataset'!L107="Premium","PREM",IF('Final Project Dataset'!L107="Standard","STND",IF('Final Project Dataset'!L107="Basic","BASC","")))</f>
        <v>STND</v>
      </c>
      <c r="M107" s="34" t="str">
        <f>IF('Final Project Dataset'!J107="Credit Card","CC",IF('Final Project Dataset'!J107="Debit Card","DC",IF('Final Project Dataset'!J107="PayPal","PP",IF('Final Project Dataset'!J107="Cash","CSH",""))))</f>
        <v>PP</v>
      </c>
    </row>
    <row r="108" spans="1:13">
      <c r="A108" s="34" t="str">
        <f>'Final Project Dataset'!D108</f>
        <v>Jennifer Taylor</v>
      </c>
      <c r="B108" s="34" t="str">
        <f t="shared" si="8"/>
        <v>Jennifer</v>
      </c>
      <c r="C108" s="34" t="str">
        <f t="shared" si="9"/>
        <v>Taylor</v>
      </c>
      <c r="D108" s="34" t="str">
        <f t="shared" si="10"/>
        <v>J.T.</v>
      </c>
      <c r="E108" s="34" t="str">
        <f t="shared" si="11"/>
        <v>Jennifer T.</v>
      </c>
      <c r="F108" s="34" t="str">
        <f t="shared" si="12"/>
        <v>JENNIFER TAYLOR</v>
      </c>
      <c r="G108" s="34" t="str">
        <f t="shared" si="13"/>
        <v>jennifer taylor</v>
      </c>
      <c r="H108" s="34" t="str">
        <f t="shared" si="14"/>
        <v>Jennifer Taylor</v>
      </c>
      <c r="I108" s="34">
        <f t="shared" si="15"/>
        <v>15</v>
      </c>
      <c r="J108" s="34" t="str">
        <f>IF('Final Project Dataset'!G108="Electronics","ELEC",IF('Final Project Dataset'!G108="Furniture","FURN",IF('Final Project Dataset'!G108="Appliances","APPL","")))</f>
        <v>APPL</v>
      </c>
      <c r="K108" s="34" t="str">
        <f>IF('Final Project Dataset'!K108="North","N",IF('Final Project Dataset'!K108="South","S",IF('Final Project Dataset'!K108="East","E",IF('Final Project Dataset'!K108="West","W",IF('Final Project Dataset'!K108="Central","C","")))))</f>
        <v>N</v>
      </c>
      <c r="L108" s="34" t="str">
        <f>IF('Final Project Dataset'!L108="Premium","PREM",IF('Final Project Dataset'!L108="Standard","STND",IF('Final Project Dataset'!L108="Basic","BASC","")))</f>
        <v>BASC</v>
      </c>
      <c r="M108" s="34" t="str">
        <f>IF('Final Project Dataset'!J108="Credit Card","CC",IF('Final Project Dataset'!J108="Debit Card","DC",IF('Final Project Dataset'!J108="PayPal","PP",IF('Final Project Dataset'!J108="Cash","CSH",""))))</f>
        <v>CSH</v>
      </c>
    </row>
    <row r="109" spans="1:13">
      <c r="A109" s="34" t="str">
        <f>'Final Project Dataset'!D109</f>
        <v>Charles Allen</v>
      </c>
      <c r="B109" s="34" t="str">
        <f t="shared" si="8"/>
        <v>Charles</v>
      </c>
      <c r="C109" s="34" t="str">
        <f t="shared" si="9"/>
        <v>Allen</v>
      </c>
      <c r="D109" s="34" t="str">
        <f t="shared" si="10"/>
        <v>C.A.</v>
      </c>
      <c r="E109" s="34" t="str">
        <f t="shared" si="11"/>
        <v>Charles A.</v>
      </c>
      <c r="F109" s="34" t="str">
        <f t="shared" si="12"/>
        <v>CHARLES ALLEN</v>
      </c>
      <c r="G109" s="34" t="str">
        <f t="shared" si="13"/>
        <v>charles allen</v>
      </c>
      <c r="H109" s="34" t="str">
        <f t="shared" si="14"/>
        <v>Charles Allen</v>
      </c>
      <c r="I109" s="34">
        <f t="shared" si="15"/>
        <v>13</v>
      </c>
      <c r="J109" s="34" t="str">
        <f>IF('Final Project Dataset'!G109="Electronics","ELEC",IF('Final Project Dataset'!G109="Furniture","FURN",IF('Final Project Dataset'!G109="Appliances","APPL","")))</f>
        <v>APPL</v>
      </c>
      <c r="K109" s="34" t="str">
        <f>IF('Final Project Dataset'!K109="North","N",IF('Final Project Dataset'!K109="South","S",IF('Final Project Dataset'!K109="East","E",IF('Final Project Dataset'!K109="West","W",IF('Final Project Dataset'!K109="Central","C","")))))</f>
        <v>W</v>
      </c>
      <c r="L109" s="34" t="str">
        <f>IF('Final Project Dataset'!L109="Premium","PREM",IF('Final Project Dataset'!L109="Standard","STND",IF('Final Project Dataset'!L109="Basic","BASC","")))</f>
        <v>BASC</v>
      </c>
      <c r="M109" s="34" t="str">
        <f>IF('Final Project Dataset'!J109="Credit Card","CC",IF('Final Project Dataset'!J109="Debit Card","DC",IF('Final Project Dataset'!J109="PayPal","PP",IF('Final Project Dataset'!J109="Cash","CSH",""))))</f>
        <v>CSH</v>
      </c>
    </row>
    <row r="110" spans="1:13">
      <c r="A110" s="34" t="str">
        <f>'Final Project Dataset'!D110</f>
        <v>Dorothy Nelson</v>
      </c>
      <c r="B110" s="34" t="str">
        <f t="shared" si="8"/>
        <v>Dorothy</v>
      </c>
      <c r="C110" s="34" t="str">
        <f t="shared" si="9"/>
        <v>Nelson</v>
      </c>
      <c r="D110" s="34" t="str">
        <f t="shared" si="10"/>
        <v>D.N.</v>
      </c>
      <c r="E110" s="34" t="str">
        <f t="shared" si="11"/>
        <v>Dorothy N.</v>
      </c>
      <c r="F110" s="34" t="str">
        <f t="shared" si="12"/>
        <v>DOROTHY NELSON</v>
      </c>
      <c r="G110" s="34" t="str">
        <f t="shared" si="13"/>
        <v>dorothy nelson</v>
      </c>
      <c r="H110" s="34" t="str">
        <f t="shared" si="14"/>
        <v>Dorothy Nelson</v>
      </c>
      <c r="I110" s="34">
        <f t="shared" si="15"/>
        <v>14</v>
      </c>
      <c r="J110" s="34" t="str">
        <f>IF('Final Project Dataset'!G110="Electronics","ELEC",IF('Final Project Dataset'!G110="Furniture","FURN",IF('Final Project Dataset'!G110="Appliances","APPL","")))</f>
        <v>FURN</v>
      </c>
      <c r="K110" s="34" t="str">
        <f>IF('Final Project Dataset'!K110="North","N",IF('Final Project Dataset'!K110="South","S",IF('Final Project Dataset'!K110="East","E",IF('Final Project Dataset'!K110="West","W",IF('Final Project Dataset'!K110="Central","C","")))))</f>
        <v>C</v>
      </c>
      <c r="L110" s="34" t="str">
        <f>IF('Final Project Dataset'!L110="Premium","PREM",IF('Final Project Dataset'!L110="Standard","STND",IF('Final Project Dataset'!L110="Basic","BASC","")))</f>
        <v>PREM</v>
      </c>
      <c r="M110" s="34" t="str">
        <f>IF('Final Project Dataset'!J110="Credit Card","CC",IF('Final Project Dataset'!J110="Debit Card","DC",IF('Final Project Dataset'!J110="PayPal","PP",IF('Final Project Dataset'!J110="Cash","CSH",""))))</f>
        <v>CC</v>
      </c>
    </row>
    <row r="111" spans="1:13">
      <c r="A111" s="34" t="str">
        <f>'Final Project Dataset'!D111</f>
        <v>Kathleen Bennett</v>
      </c>
      <c r="B111" s="34" t="str">
        <f t="shared" si="8"/>
        <v>Kathleen</v>
      </c>
      <c r="C111" s="34" t="str">
        <f t="shared" si="9"/>
        <v>Bennett</v>
      </c>
      <c r="D111" s="34" t="str">
        <f t="shared" si="10"/>
        <v>K.B.</v>
      </c>
      <c r="E111" s="34" t="str">
        <f t="shared" si="11"/>
        <v>Kathleen B.</v>
      </c>
      <c r="F111" s="34" t="str">
        <f t="shared" si="12"/>
        <v>KATHLEEN BENNETT</v>
      </c>
      <c r="G111" s="34" t="str">
        <f t="shared" si="13"/>
        <v>kathleen bennett</v>
      </c>
      <c r="H111" s="34" t="str">
        <f t="shared" si="14"/>
        <v>Kathleen Bennett</v>
      </c>
      <c r="I111" s="34">
        <f t="shared" si="15"/>
        <v>16</v>
      </c>
      <c r="J111" s="34" t="str">
        <f>IF('Final Project Dataset'!G111="Electronics","ELEC",IF('Final Project Dataset'!G111="Furniture","FURN",IF('Final Project Dataset'!G111="Appliances","APPL","")))</f>
        <v>ELEC</v>
      </c>
      <c r="K111" s="34" t="str">
        <f>IF('Final Project Dataset'!K111="North","N",IF('Final Project Dataset'!K111="South","S",IF('Final Project Dataset'!K111="East","E",IF('Final Project Dataset'!K111="West","W",IF('Final Project Dataset'!K111="Central","C","")))))</f>
        <v>S</v>
      </c>
      <c r="L111" s="34" t="str">
        <f>IF('Final Project Dataset'!L111="Premium","PREM",IF('Final Project Dataset'!L111="Standard","STND",IF('Final Project Dataset'!L111="Basic","BASC","")))</f>
        <v>PREM</v>
      </c>
      <c r="M111" s="34" t="str">
        <f>IF('Final Project Dataset'!J111="Credit Card","CC",IF('Final Project Dataset'!J111="Debit Card","DC",IF('Final Project Dataset'!J111="PayPal","PP",IF('Final Project Dataset'!J111="Cash","CSH",""))))</f>
        <v>CC</v>
      </c>
    </row>
    <row r="112" spans="1:13">
      <c r="A112" s="34" t="str">
        <f>'Final Project Dataset'!D112</f>
        <v>Ruth Brooks</v>
      </c>
      <c r="B112" s="34" t="str">
        <f t="shared" si="8"/>
        <v>Ruth</v>
      </c>
      <c r="C112" s="34" t="str">
        <f t="shared" si="9"/>
        <v>Brooks</v>
      </c>
      <c r="D112" s="34" t="str">
        <f t="shared" si="10"/>
        <v>R.B.</v>
      </c>
      <c r="E112" s="34" t="str">
        <f t="shared" si="11"/>
        <v>Ruth B.</v>
      </c>
      <c r="F112" s="34" t="str">
        <f t="shared" si="12"/>
        <v>RUTH BROOKS</v>
      </c>
      <c r="G112" s="34" t="str">
        <f t="shared" si="13"/>
        <v>ruth brooks</v>
      </c>
      <c r="H112" s="34" t="str">
        <f t="shared" si="14"/>
        <v>Ruth Brooks</v>
      </c>
      <c r="I112" s="34">
        <f t="shared" si="15"/>
        <v>11</v>
      </c>
      <c r="J112" s="34" t="str">
        <f>IF('Final Project Dataset'!G112="Electronics","ELEC",IF('Final Project Dataset'!G112="Furniture","FURN",IF('Final Project Dataset'!G112="Appliances","APPL","")))</f>
        <v>ELEC</v>
      </c>
      <c r="K112" s="34" t="str">
        <f>IF('Final Project Dataset'!K112="North","N",IF('Final Project Dataset'!K112="South","S",IF('Final Project Dataset'!K112="East","E",IF('Final Project Dataset'!K112="West","W",IF('Final Project Dataset'!K112="Central","C","")))))</f>
        <v>N</v>
      </c>
      <c r="L112" s="34" t="str">
        <f>IF('Final Project Dataset'!L112="Premium","PREM",IF('Final Project Dataset'!L112="Standard","STND",IF('Final Project Dataset'!L112="Basic","BASC","")))</f>
        <v>BASC</v>
      </c>
      <c r="M112" s="34" t="str">
        <f>IF('Final Project Dataset'!J112="Credit Card","CC",IF('Final Project Dataset'!J112="Debit Card","DC",IF('Final Project Dataset'!J112="PayPal","PP",IF('Final Project Dataset'!J112="Cash","CSH",""))))</f>
        <v>CSH</v>
      </c>
    </row>
    <row r="113" spans="1:13">
      <c r="A113" s="34" t="str">
        <f>'Final Project Dataset'!D113</f>
        <v>Karen Hill</v>
      </c>
      <c r="B113" s="34" t="str">
        <f t="shared" si="8"/>
        <v>Karen</v>
      </c>
      <c r="C113" s="34" t="str">
        <f t="shared" si="9"/>
        <v>Hill</v>
      </c>
      <c r="D113" s="34" t="str">
        <f t="shared" si="10"/>
        <v>K.H.</v>
      </c>
      <c r="E113" s="34" t="str">
        <f t="shared" si="11"/>
        <v>Karen H.</v>
      </c>
      <c r="F113" s="34" t="str">
        <f t="shared" si="12"/>
        <v>KAREN HILL</v>
      </c>
      <c r="G113" s="34" t="str">
        <f t="shared" si="13"/>
        <v>karen hill</v>
      </c>
      <c r="H113" s="34" t="str">
        <f t="shared" si="14"/>
        <v>Karen Hill</v>
      </c>
      <c r="I113" s="34">
        <f t="shared" si="15"/>
        <v>10</v>
      </c>
      <c r="J113" s="34" t="str">
        <f>IF('Final Project Dataset'!G113="Electronics","ELEC",IF('Final Project Dataset'!G113="Furniture","FURN",IF('Final Project Dataset'!G113="Appliances","APPL","")))</f>
        <v>ELEC</v>
      </c>
      <c r="K113" s="34" t="str">
        <f>IF('Final Project Dataset'!K113="North","N",IF('Final Project Dataset'!K113="South","S",IF('Final Project Dataset'!K113="East","E",IF('Final Project Dataset'!K113="West","W",IF('Final Project Dataset'!K113="Central","C","")))))</f>
        <v>S</v>
      </c>
      <c r="L113" s="34" t="str">
        <f>IF('Final Project Dataset'!L113="Premium","PREM",IF('Final Project Dataset'!L113="Standard","STND",IF('Final Project Dataset'!L113="Basic","BASC","")))</f>
        <v>BASC</v>
      </c>
      <c r="M113" s="34" t="str">
        <f>IF('Final Project Dataset'!J113="Credit Card","CC",IF('Final Project Dataset'!J113="Debit Card","DC",IF('Final Project Dataset'!J113="PayPal","PP",IF('Final Project Dataset'!J113="Cash","CSH",""))))</f>
        <v>PP</v>
      </c>
    </row>
    <row r="114" spans="1:13">
      <c r="A114" s="34" t="str">
        <f>'Final Project Dataset'!D114</f>
        <v>Sarah Davis</v>
      </c>
      <c r="B114" s="34" t="str">
        <f t="shared" si="8"/>
        <v>Sarah</v>
      </c>
      <c r="C114" s="34" t="str">
        <f t="shared" si="9"/>
        <v>Davis</v>
      </c>
      <c r="D114" s="34" t="str">
        <f t="shared" si="10"/>
        <v>S.D.</v>
      </c>
      <c r="E114" s="34" t="str">
        <f t="shared" si="11"/>
        <v>Sarah D.</v>
      </c>
      <c r="F114" s="34" t="str">
        <f t="shared" si="12"/>
        <v>SARAH DAVIS</v>
      </c>
      <c r="G114" s="34" t="str">
        <f t="shared" si="13"/>
        <v>sarah davis</v>
      </c>
      <c r="H114" s="34" t="str">
        <f t="shared" si="14"/>
        <v>Sarah Davis</v>
      </c>
      <c r="I114" s="34">
        <f t="shared" si="15"/>
        <v>11</v>
      </c>
      <c r="J114" s="34" t="str">
        <f>IF('Final Project Dataset'!G114="Electronics","ELEC",IF('Final Project Dataset'!G114="Furniture","FURN",IF('Final Project Dataset'!G114="Appliances","APPL","")))</f>
        <v>FURN</v>
      </c>
      <c r="K114" s="34" t="str">
        <f>IF('Final Project Dataset'!K114="North","N",IF('Final Project Dataset'!K114="South","S",IF('Final Project Dataset'!K114="East","E",IF('Final Project Dataset'!K114="West","W",IF('Final Project Dataset'!K114="Central","C","")))))</f>
        <v>E</v>
      </c>
      <c r="L114" s="34" t="str">
        <f>IF('Final Project Dataset'!L114="Premium","PREM",IF('Final Project Dataset'!L114="Standard","STND",IF('Final Project Dataset'!L114="Basic","BASC","")))</f>
        <v>BASC</v>
      </c>
      <c r="M114" s="34" t="str">
        <f>IF('Final Project Dataset'!J114="Credit Card","CC",IF('Final Project Dataset'!J114="Debit Card","DC",IF('Final Project Dataset'!J114="PayPal","PP",IF('Final Project Dataset'!J114="Cash","CSH",""))))</f>
        <v>DC</v>
      </c>
    </row>
    <row r="115" spans="1:13">
      <c r="A115" s="34" t="str">
        <f>'Final Project Dataset'!D115</f>
        <v>Daniel King</v>
      </c>
      <c r="B115" s="34" t="str">
        <f t="shared" si="8"/>
        <v>Daniel</v>
      </c>
      <c r="C115" s="34" t="str">
        <f t="shared" si="9"/>
        <v>King</v>
      </c>
      <c r="D115" s="34" t="str">
        <f t="shared" si="10"/>
        <v>D.K.</v>
      </c>
      <c r="E115" s="34" t="str">
        <f t="shared" si="11"/>
        <v>Daniel K.</v>
      </c>
      <c r="F115" s="34" t="str">
        <f t="shared" si="12"/>
        <v>DANIEL KING</v>
      </c>
      <c r="G115" s="34" t="str">
        <f t="shared" si="13"/>
        <v>daniel king</v>
      </c>
      <c r="H115" s="34" t="str">
        <f t="shared" si="14"/>
        <v>Daniel King</v>
      </c>
      <c r="I115" s="34">
        <f t="shared" si="15"/>
        <v>11</v>
      </c>
      <c r="J115" s="34" t="str">
        <f>IF('Final Project Dataset'!G115="Electronics","ELEC",IF('Final Project Dataset'!G115="Furniture","FURN",IF('Final Project Dataset'!G115="Appliances","APPL","")))</f>
        <v>ELEC</v>
      </c>
      <c r="K115" s="34" t="str">
        <f>IF('Final Project Dataset'!K115="North","N",IF('Final Project Dataset'!K115="South","S",IF('Final Project Dataset'!K115="East","E",IF('Final Project Dataset'!K115="West","W",IF('Final Project Dataset'!K115="Central","C","")))))</f>
        <v>E</v>
      </c>
      <c r="L115" s="34" t="str">
        <f>IF('Final Project Dataset'!L115="Premium","PREM",IF('Final Project Dataset'!L115="Standard","STND",IF('Final Project Dataset'!L115="Basic","BASC","")))</f>
        <v>PREM</v>
      </c>
      <c r="M115" s="34" t="str">
        <f>IF('Final Project Dataset'!J115="Credit Card","CC",IF('Final Project Dataset'!J115="Debit Card","DC",IF('Final Project Dataset'!J115="PayPal","PP",IF('Final Project Dataset'!J115="Cash","CSH",""))))</f>
        <v>CC</v>
      </c>
    </row>
    <row r="116" spans="1:13">
      <c r="A116" s="34" t="str">
        <f>'Final Project Dataset'!D116</f>
        <v>William White</v>
      </c>
      <c r="B116" s="34" t="str">
        <f t="shared" si="8"/>
        <v>William</v>
      </c>
      <c r="C116" s="34" t="str">
        <f t="shared" si="9"/>
        <v>White</v>
      </c>
      <c r="D116" s="34" t="str">
        <f t="shared" si="10"/>
        <v>W.W.</v>
      </c>
      <c r="E116" s="34" t="str">
        <f t="shared" si="11"/>
        <v>William W.</v>
      </c>
      <c r="F116" s="34" t="str">
        <f t="shared" si="12"/>
        <v>WILLIAM WHITE</v>
      </c>
      <c r="G116" s="34" t="str">
        <f t="shared" si="13"/>
        <v>william white</v>
      </c>
      <c r="H116" s="34" t="str">
        <f t="shared" si="14"/>
        <v>William White</v>
      </c>
      <c r="I116" s="34">
        <f t="shared" si="15"/>
        <v>13</v>
      </c>
      <c r="J116" s="34" t="str">
        <f>IF('Final Project Dataset'!G116="Electronics","ELEC",IF('Final Project Dataset'!G116="Furniture","FURN",IF('Final Project Dataset'!G116="Appliances","APPL","")))</f>
        <v>ELEC</v>
      </c>
      <c r="K116" s="34" t="str">
        <f>IF('Final Project Dataset'!K116="North","N",IF('Final Project Dataset'!K116="South","S",IF('Final Project Dataset'!K116="East","E",IF('Final Project Dataset'!K116="West","W",IF('Final Project Dataset'!K116="Central","C","")))))</f>
        <v>E</v>
      </c>
      <c r="L116" s="34" t="str">
        <f>IF('Final Project Dataset'!L116="Premium","PREM",IF('Final Project Dataset'!L116="Standard","STND",IF('Final Project Dataset'!L116="Basic","BASC","")))</f>
        <v>STND</v>
      </c>
      <c r="M116" s="34" t="str">
        <f>IF('Final Project Dataset'!J116="Credit Card","CC",IF('Final Project Dataset'!J116="Debit Card","DC",IF('Final Project Dataset'!J116="PayPal","PP",IF('Final Project Dataset'!J116="Cash","CSH",""))))</f>
        <v>PP</v>
      </c>
    </row>
    <row r="117" spans="1:13">
      <c r="A117" s="34" t="str">
        <f>'Final Project Dataset'!D117</f>
        <v>Peter Richardson</v>
      </c>
      <c r="B117" s="34" t="str">
        <f t="shared" si="8"/>
        <v>Peter</v>
      </c>
      <c r="C117" s="34" t="str">
        <f t="shared" si="9"/>
        <v>Richardson</v>
      </c>
      <c r="D117" s="34" t="str">
        <f t="shared" si="10"/>
        <v>P.R.</v>
      </c>
      <c r="E117" s="34" t="str">
        <f t="shared" si="11"/>
        <v>Peter R.</v>
      </c>
      <c r="F117" s="34" t="str">
        <f t="shared" si="12"/>
        <v>PETER RICHARDSON</v>
      </c>
      <c r="G117" s="34" t="str">
        <f t="shared" si="13"/>
        <v>peter richardson</v>
      </c>
      <c r="H117" s="34" t="str">
        <f t="shared" si="14"/>
        <v>Peter Richardson</v>
      </c>
      <c r="I117" s="34">
        <f t="shared" si="15"/>
        <v>16</v>
      </c>
      <c r="J117" s="34" t="str">
        <f>IF('Final Project Dataset'!G117="Electronics","ELEC",IF('Final Project Dataset'!G117="Furniture","FURN",IF('Final Project Dataset'!G117="Appliances","APPL","")))</f>
        <v>ELEC</v>
      </c>
      <c r="K117" s="34" t="str">
        <f>IF('Final Project Dataset'!K117="North","N",IF('Final Project Dataset'!K117="South","S",IF('Final Project Dataset'!K117="East","E",IF('Final Project Dataset'!K117="West","W",IF('Final Project Dataset'!K117="Central","C","")))))</f>
        <v>S</v>
      </c>
      <c r="L117" s="34" t="str">
        <f>IF('Final Project Dataset'!L117="Premium","PREM",IF('Final Project Dataset'!L117="Standard","STND",IF('Final Project Dataset'!L117="Basic","BASC","")))</f>
        <v>BASC</v>
      </c>
      <c r="M117" s="34" t="str">
        <f>IF('Final Project Dataset'!J117="Credit Card","CC",IF('Final Project Dataset'!J117="Debit Card","DC",IF('Final Project Dataset'!J117="PayPal","PP",IF('Final Project Dataset'!J117="Cash","CSH",""))))</f>
        <v>PP</v>
      </c>
    </row>
    <row r="118" spans="1:13">
      <c r="A118" s="34" t="str">
        <f>'Final Project Dataset'!D118</f>
        <v>Sandra Phillips</v>
      </c>
      <c r="B118" s="34" t="str">
        <f t="shared" si="8"/>
        <v>Sandra</v>
      </c>
      <c r="C118" s="34" t="str">
        <f t="shared" si="9"/>
        <v>Phillips</v>
      </c>
      <c r="D118" s="34" t="str">
        <f t="shared" si="10"/>
        <v>S.P.</v>
      </c>
      <c r="E118" s="34" t="str">
        <f t="shared" si="11"/>
        <v>Sandra P.</v>
      </c>
      <c r="F118" s="34" t="str">
        <f t="shared" si="12"/>
        <v>SANDRA PHILLIPS</v>
      </c>
      <c r="G118" s="34" t="str">
        <f t="shared" si="13"/>
        <v>sandra phillips</v>
      </c>
      <c r="H118" s="34" t="str">
        <f t="shared" si="14"/>
        <v>Sandra Phillips</v>
      </c>
      <c r="I118" s="34">
        <f t="shared" si="15"/>
        <v>15</v>
      </c>
      <c r="J118" s="34" t="str">
        <f>IF('Final Project Dataset'!G118="Electronics","ELEC",IF('Final Project Dataset'!G118="Furniture","FURN",IF('Final Project Dataset'!G118="Appliances","APPL","")))</f>
        <v>ELEC</v>
      </c>
      <c r="K118" s="34" t="str">
        <f>IF('Final Project Dataset'!K118="North","N",IF('Final Project Dataset'!K118="South","S",IF('Final Project Dataset'!K118="East","E",IF('Final Project Dataset'!K118="West","W",IF('Final Project Dataset'!K118="Central","C","")))))</f>
        <v>N</v>
      </c>
      <c r="L118" s="34" t="str">
        <f>IF('Final Project Dataset'!L118="Premium","PREM",IF('Final Project Dataset'!L118="Standard","STND",IF('Final Project Dataset'!L118="Basic","BASC","")))</f>
        <v>STND</v>
      </c>
      <c r="M118" s="34" t="str">
        <f>IF('Final Project Dataset'!J118="Credit Card","CC",IF('Final Project Dataset'!J118="Debit Card","DC",IF('Final Project Dataset'!J118="PayPal","PP",IF('Final Project Dataset'!J118="Cash","CSH",""))))</f>
        <v>CC</v>
      </c>
    </row>
    <row r="119" spans="1:13">
      <c r="A119" s="34" t="str">
        <f>'Final Project Dataset'!D119</f>
        <v>Linda Martin</v>
      </c>
      <c r="B119" s="34" t="str">
        <f t="shared" si="8"/>
        <v>Linda</v>
      </c>
      <c r="C119" s="34" t="str">
        <f t="shared" si="9"/>
        <v>Martin</v>
      </c>
      <c r="D119" s="34" t="str">
        <f t="shared" si="10"/>
        <v>L.M.</v>
      </c>
      <c r="E119" s="34" t="str">
        <f t="shared" si="11"/>
        <v>Linda M.</v>
      </c>
      <c r="F119" s="34" t="str">
        <f t="shared" si="12"/>
        <v>LINDA MARTIN</v>
      </c>
      <c r="G119" s="34" t="str">
        <f t="shared" si="13"/>
        <v>linda martin</v>
      </c>
      <c r="H119" s="34" t="str">
        <f t="shared" si="14"/>
        <v>Linda Martin</v>
      </c>
      <c r="I119" s="34">
        <f t="shared" si="15"/>
        <v>12</v>
      </c>
      <c r="J119" s="34" t="str">
        <f>IF('Final Project Dataset'!G119="Electronics","ELEC",IF('Final Project Dataset'!G119="Furniture","FURN",IF('Final Project Dataset'!G119="Appliances","APPL","")))</f>
        <v>FURN</v>
      </c>
      <c r="K119" s="34" t="str">
        <f>IF('Final Project Dataset'!K119="North","N",IF('Final Project Dataset'!K119="South","S",IF('Final Project Dataset'!K119="East","E",IF('Final Project Dataset'!K119="West","W",IF('Final Project Dataset'!K119="Central","C","")))))</f>
        <v>E</v>
      </c>
      <c r="L119" s="34" t="str">
        <f>IF('Final Project Dataset'!L119="Premium","PREM",IF('Final Project Dataset'!L119="Standard","STND",IF('Final Project Dataset'!L119="Basic","BASC","")))</f>
        <v>BASC</v>
      </c>
      <c r="M119" s="34" t="str">
        <f>IF('Final Project Dataset'!J119="Credit Card","CC",IF('Final Project Dataset'!J119="Debit Card","DC",IF('Final Project Dataset'!J119="PayPal","PP",IF('Final Project Dataset'!J119="Cash","CSH",""))))</f>
        <v>PP</v>
      </c>
    </row>
    <row r="120" spans="1:13">
      <c r="A120" s="34" t="str">
        <f>'Final Project Dataset'!D120</f>
        <v>Patricia Moore</v>
      </c>
      <c r="B120" s="34" t="str">
        <f t="shared" si="8"/>
        <v>Patricia</v>
      </c>
      <c r="C120" s="34" t="str">
        <f t="shared" si="9"/>
        <v>Moore</v>
      </c>
      <c r="D120" s="34" t="str">
        <f t="shared" si="10"/>
        <v>P.M.</v>
      </c>
      <c r="E120" s="34" t="str">
        <f t="shared" si="11"/>
        <v>Patricia M.</v>
      </c>
      <c r="F120" s="34" t="str">
        <f t="shared" si="12"/>
        <v>PATRICIA MOORE</v>
      </c>
      <c r="G120" s="34" t="str">
        <f t="shared" si="13"/>
        <v>patricia moore</v>
      </c>
      <c r="H120" s="34" t="str">
        <f t="shared" si="14"/>
        <v>Patricia Moore</v>
      </c>
      <c r="I120" s="34">
        <f t="shared" si="15"/>
        <v>14</v>
      </c>
      <c r="J120" s="34" t="str">
        <f>IF('Final Project Dataset'!G120="Electronics","ELEC",IF('Final Project Dataset'!G120="Furniture","FURN",IF('Final Project Dataset'!G120="Appliances","APPL","")))</f>
        <v>FURN</v>
      </c>
      <c r="K120" s="34" t="str">
        <f>IF('Final Project Dataset'!K120="North","N",IF('Final Project Dataset'!K120="South","S",IF('Final Project Dataset'!K120="East","E",IF('Final Project Dataset'!K120="West","W",IF('Final Project Dataset'!K120="Central","C","")))))</f>
        <v>C</v>
      </c>
      <c r="L120" s="34" t="str">
        <f>IF('Final Project Dataset'!L120="Premium","PREM",IF('Final Project Dataset'!L120="Standard","STND",IF('Final Project Dataset'!L120="Basic","BASC","")))</f>
        <v>BASC</v>
      </c>
      <c r="M120" s="34" t="str">
        <f>IF('Final Project Dataset'!J120="Credit Card","CC",IF('Final Project Dataset'!J120="Debit Card","DC",IF('Final Project Dataset'!J120="PayPal","PP",IF('Final Project Dataset'!J120="Cash","CSH",""))))</f>
        <v>DC</v>
      </c>
    </row>
    <row r="121" spans="1:13">
      <c r="A121" s="34" t="str">
        <f>'Final Project Dataset'!D121</f>
        <v>Richard Lee</v>
      </c>
      <c r="B121" s="34" t="str">
        <f t="shared" si="8"/>
        <v>Richard</v>
      </c>
      <c r="C121" s="34" t="str">
        <f t="shared" si="9"/>
        <v>Lee</v>
      </c>
      <c r="D121" s="34" t="str">
        <f t="shared" si="10"/>
        <v>R.L.</v>
      </c>
      <c r="E121" s="34" t="str">
        <f t="shared" si="11"/>
        <v>Richard L.</v>
      </c>
      <c r="F121" s="34" t="str">
        <f t="shared" si="12"/>
        <v>RICHARD LEE</v>
      </c>
      <c r="G121" s="34" t="str">
        <f t="shared" si="13"/>
        <v>richard lee</v>
      </c>
      <c r="H121" s="34" t="str">
        <f t="shared" si="14"/>
        <v>Richard Lee</v>
      </c>
      <c r="I121" s="34">
        <f t="shared" si="15"/>
        <v>11</v>
      </c>
      <c r="J121" s="34" t="str">
        <f>IF('Final Project Dataset'!G121="Electronics","ELEC",IF('Final Project Dataset'!G121="Furniture","FURN",IF('Final Project Dataset'!G121="Appliances","APPL","")))</f>
        <v>FURN</v>
      </c>
      <c r="K121" s="34" t="str">
        <f>IF('Final Project Dataset'!K121="North","N",IF('Final Project Dataset'!K121="South","S",IF('Final Project Dataset'!K121="East","E",IF('Final Project Dataset'!K121="West","W",IF('Final Project Dataset'!K121="Central","C","")))))</f>
        <v>E</v>
      </c>
      <c r="L121" s="34" t="str">
        <f>IF('Final Project Dataset'!L121="Premium","PREM",IF('Final Project Dataset'!L121="Standard","STND",IF('Final Project Dataset'!L121="Basic","BASC","")))</f>
        <v>STND</v>
      </c>
      <c r="M121" s="34" t="str">
        <f>IF('Final Project Dataset'!J121="Credit Card","CC",IF('Final Project Dataset'!J121="Debit Card","DC",IF('Final Project Dataset'!J121="PayPal","PP",IF('Final Project Dataset'!J121="Cash","CSH",""))))</f>
        <v>DC</v>
      </c>
    </row>
    <row r="122" spans="1:13">
      <c r="A122" s="34" t="str">
        <f>'Final Project Dataset'!D122</f>
        <v>Michael Brown</v>
      </c>
      <c r="B122" s="34" t="str">
        <f t="shared" si="8"/>
        <v>Michael</v>
      </c>
      <c r="C122" s="34" t="str">
        <f t="shared" si="9"/>
        <v>Brown</v>
      </c>
      <c r="D122" s="34" t="str">
        <f t="shared" si="10"/>
        <v>M.B.</v>
      </c>
      <c r="E122" s="34" t="str">
        <f t="shared" si="11"/>
        <v>Michael B.</v>
      </c>
      <c r="F122" s="34" t="str">
        <f t="shared" si="12"/>
        <v>MICHAEL BROWN</v>
      </c>
      <c r="G122" s="34" t="str">
        <f t="shared" si="13"/>
        <v>michael brown</v>
      </c>
      <c r="H122" s="34" t="str">
        <f t="shared" si="14"/>
        <v>Michael Brown</v>
      </c>
      <c r="I122" s="34">
        <f t="shared" si="15"/>
        <v>13</v>
      </c>
      <c r="J122" s="34" t="str">
        <f>IF('Final Project Dataset'!G122="Electronics","ELEC",IF('Final Project Dataset'!G122="Furniture","FURN",IF('Final Project Dataset'!G122="Appliances","APPL","")))</f>
        <v>FURN</v>
      </c>
      <c r="K122" s="34" t="str">
        <f>IF('Final Project Dataset'!K122="North","N",IF('Final Project Dataset'!K122="South","S",IF('Final Project Dataset'!K122="East","E",IF('Final Project Dataset'!K122="West","W",IF('Final Project Dataset'!K122="Central","C","")))))</f>
        <v>C</v>
      </c>
      <c r="L122" s="34" t="str">
        <f>IF('Final Project Dataset'!L122="Premium","PREM",IF('Final Project Dataset'!L122="Standard","STND",IF('Final Project Dataset'!L122="Basic","BASC","")))</f>
        <v>PREM</v>
      </c>
      <c r="M122" s="34" t="str">
        <f>IF('Final Project Dataset'!J122="Credit Card","CC",IF('Final Project Dataset'!J122="Debit Card","DC",IF('Final Project Dataset'!J122="PayPal","PP",IF('Final Project Dataset'!J122="Cash","CSH",""))))</f>
        <v>CSH</v>
      </c>
    </row>
    <row r="123" spans="1:13">
      <c r="A123" s="34" t="str">
        <f>'Final Project Dataset'!D123</f>
        <v>Maria Garcia</v>
      </c>
      <c r="B123" s="34" t="str">
        <f t="shared" si="8"/>
        <v>Maria</v>
      </c>
      <c r="C123" s="34" t="str">
        <f t="shared" si="9"/>
        <v>Garcia</v>
      </c>
      <c r="D123" s="34" t="str">
        <f t="shared" si="10"/>
        <v>M.G.</v>
      </c>
      <c r="E123" s="34" t="str">
        <f t="shared" si="11"/>
        <v>Maria G.</v>
      </c>
      <c r="F123" s="34" t="str">
        <f t="shared" si="12"/>
        <v>MARIA GARCIA</v>
      </c>
      <c r="G123" s="34" t="str">
        <f t="shared" si="13"/>
        <v>maria garcia</v>
      </c>
      <c r="H123" s="34" t="str">
        <f t="shared" si="14"/>
        <v>Maria Garcia</v>
      </c>
      <c r="I123" s="34">
        <f t="shared" si="15"/>
        <v>12</v>
      </c>
      <c r="J123" s="34" t="str">
        <f>IF('Final Project Dataset'!G123="Electronics","ELEC",IF('Final Project Dataset'!G123="Furniture","FURN",IF('Final Project Dataset'!G123="Appliances","APPL","")))</f>
        <v>APPL</v>
      </c>
      <c r="K123" s="34" t="str">
        <f>IF('Final Project Dataset'!K123="North","N",IF('Final Project Dataset'!K123="South","S",IF('Final Project Dataset'!K123="East","E",IF('Final Project Dataset'!K123="West","W",IF('Final Project Dataset'!K123="Central","C","")))))</f>
        <v>C</v>
      </c>
      <c r="L123" s="34" t="str">
        <f>IF('Final Project Dataset'!L123="Premium","PREM",IF('Final Project Dataset'!L123="Standard","STND",IF('Final Project Dataset'!L123="Basic","BASC","")))</f>
        <v>BASC</v>
      </c>
      <c r="M123" s="34" t="str">
        <f>IF('Final Project Dataset'!J123="Credit Card","CC",IF('Final Project Dataset'!J123="Debit Card","DC",IF('Final Project Dataset'!J123="PayPal","PP",IF('Final Project Dataset'!J123="Cash","CSH",""))))</f>
        <v>CC</v>
      </c>
    </row>
    <row r="124" spans="1:13">
      <c r="A124" s="34" t="str">
        <f>'Final Project Dataset'!D124</f>
        <v>Sandra Phillips</v>
      </c>
      <c r="B124" s="34" t="str">
        <f t="shared" si="8"/>
        <v>Sandra</v>
      </c>
      <c r="C124" s="34" t="str">
        <f t="shared" si="9"/>
        <v>Phillips</v>
      </c>
      <c r="D124" s="34" t="str">
        <f t="shared" si="10"/>
        <v>S.P.</v>
      </c>
      <c r="E124" s="34" t="str">
        <f t="shared" si="11"/>
        <v>Sandra P.</v>
      </c>
      <c r="F124" s="34" t="str">
        <f t="shared" si="12"/>
        <v>SANDRA PHILLIPS</v>
      </c>
      <c r="G124" s="34" t="str">
        <f t="shared" si="13"/>
        <v>sandra phillips</v>
      </c>
      <c r="H124" s="34" t="str">
        <f t="shared" si="14"/>
        <v>Sandra Phillips</v>
      </c>
      <c r="I124" s="34">
        <f t="shared" si="15"/>
        <v>15</v>
      </c>
      <c r="J124" s="34" t="str">
        <f>IF('Final Project Dataset'!G124="Electronics","ELEC",IF('Final Project Dataset'!G124="Furniture","FURN",IF('Final Project Dataset'!G124="Appliances","APPL","")))</f>
        <v>ELEC</v>
      </c>
      <c r="K124" s="34" t="str">
        <f>IF('Final Project Dataset'!K124="North","N",IF('Final Project Dataset'!K124="South","S",IF('Final Project Dataset'!K124="East","E",IF('Final Project Dataset'!K124="West","W",IF('Final Project Dataset'!K124="Central","C","")))))</f>
        <v>N</v>
      </c>
      <c r="L124" s="34" t="str">
        <f>IF('Final Project Dataset'!L124="Premium","PREM",IF('Final Project Dataset'!L124="Standard","STND",IF('Final Project Dataset'!L124="Basic","BASC","")))</f>
        <v>PREM</v>
      </c>
      <c r="M124" s="34" t="str">
        <f>IF('Final Project Dataset'!J124="Credit Card","CC",IF('Final Project Dataset'!J124="Debit Card","DC",IF('Final Project Dataset'!J124="PayPal","PP",IF('Final Project Dataset'!J124="Cash","CSH",""))))</f>
        <v>CC</v>
      </c>
    </row>
    <row r="125" spans="1:13">
      <c r="A125" s="34" t="str">
        <f>'Final Project Dataset'!D125</f>
        <v>Elizabeth Hall</v>
      </c>
      <c r="B125" s="34" t="str">
        <f t="shared" si="8"/>
        <v>Elizabeth</v>
      </c>
      <c r="C125" s="34" t="str">
        <f t="shared" si="9"/>
        <v>Hall</v>
      </c>
      <c r="D125" s="34" t="str">
        <f t="shared" si="10"/>
        <v>E.H.</v>
      </c>
      <c r="E125" s="34" t="str">
        <f t="shared" si="11"/>
        <v>Elizabeth H.</v>
      </c>
      <c r="F125" s="34" t="str">
        <f t="shared" si="12"/>
        <v>ELIZABETH HALL</v>
      </c>
      <c r="G125" s="34" t="str">
        <f t="shared" si="13"/>
        <v>elizabeth hall</v>
      </c>
      <c r="H125" s="34" t="str">
        <f t="shared" si="14"/>
        <v>Elizabeth Hall</v>
      </c>
      <c r="I125" s="34">
        <f t="shared" si="15"/>
        <v>14</v>
      </c>
      <c r="J125" s="34" t="str">
        <f>IF('Final Project Dataset'!G125="Electronics","ELEC",IF('Final Project Dataset'!G125="Furniture","FURN",IF('Final Project Dataset'!G125="Appliances","APPL","")))</f>
        <v>ELEC</v>
      </c>
      <c r="K125" s="34" t="str">
        <f>IF('Final Project Dataset'!K125="North","N",IF('Final Project Dataset'!K125="South","S",IF('Final Project Dataset'!K125="East","E",IF('Final Project Dataset'!K125="West","W",IF('Final Project Dataset'!K125="Central","C","")))))</f>
        <v>E</v>
      </c>
      <c r="L125" s="34" t="str">
        <f>IF('Final Project Dataset'!L125="Premium","PREM",IF('Final Project Dataset'!L125="Standard","STND",IF('Final Project Dataset'!L125="Basic","BASC","")))</f>
        <v>PREM</v>
      </c>
      <c r="M125" s="34" t="str">
        <f>IF('Final Project Dataset'!J125="Credit Card","CC",IF('Final Project Dataset'!J125="Debit Card","DC",IF('Final Project Dataset'!J125="PayPal","PP",IF('Final Project Dataset'!J125="Cash","CSH",""))))</f>
        <v>DC</v>
      </c>
    </row>
    <row r="126" spans="1:13">
      <c r="A126" s="34" t="str">
        <f>'Final Project Dataset'!D126</f>
        <v>Carol Evans</v>
      </c>
      <c r="B126" s="34" t="str">
        <f t="shared" si="8"/>
        <v>Carol</v>
      </c>
      <c r="C126" s="34" t="str">
        <f t="shared" si="9"/>
        <v>Evans</v>
      </c>
      <c r="D126" s="34" t="str">
        <f t="shared" si="10"/>
        <v>C.E.</v>
      </c>
      <c r="E126" s="34" t="str">
        <f t="shared" si="11"/>
        <v>Carol E.</v>
      </c>
      <c r="F126" s="34" t="str">
        <f t="shared" si="12"/>
        <v>CAROL EVANS</v>
      </c>
      <c r="G126" s="34" t="str">
        <f t="shared" si="13"/>
        <v>carol evans</v>
      </c>
      <c r="H126" s="34" t="str">
        <f t="shared" si="14"/>
        <v>Carol Evans</v>
      </c>
      <c r="I126" s="34">
        <f t="shared" si="15"/>
        <v>11</v>
      </c>
      <c r="J126" s="34" t="str">
        <f>IF('Final Project Dataset'!G126="Electronics","ELEC",IF('Final Project Dataset'!G126="Furniture","FURN",IF('Final Project Dataset'!G126="Appliances","APPL","")))</f>
        <v>FURN</v>
      </c>
      <c r="K126" s="34" t="str">
        <f>IF('Final Project Dataset'!K126="North","N",IF('Final Project Dataset'!K126="South","S",IF('Final Project Dataset'!K126="East","E",IF('Final Project Dataset'!K126="West","W",IF('Final Project Dataset'!K126="Central","C","")))))</f>
        <v>S</v>
      </c>
      <c r="L126" s="34" t="str">
        <f>IF('Final Project Dataset'!L126="Premium","PREM",IF('Final Project Dataset'!L126="Standard","STND",IF('Final Project Dataset'!L126="Basic","BASC","")))</f>
        <v>STND</v>
      </c>
      <c r="M126" s="34" t="str">
        <f>IF('Final Project Dataset'!J126="Credit Card","CC",IF('Final Project Dataset'!J126="Debit Card","DC",IF('Final Project Dataset'!J126="PayPal","PP",IF('Final Project Dataset'!J126="Cash","CSH",""))))</f>
        <v>CC</v>
      </c>
    </row>
    <row r="127" spans="1:13">
      <c r="A127" s="34" t="str">
        <f>'Final Project Dataset'!D127</f>
        <v>Daniel King</v>
      </c>
      <c r="B127" s="34" t="str">
        <f t="shared" si="8"/>
        <v>Daniel</v>
      </c>
      <c r="C127" s="34" t="str">
        <f t="shared" si="9"/>
        <v>King</v>
      </c>
      <c r="D127" s="34" t="str">
        <f t="shared" si="10"/>
        <v>D.K.</v>
      </c>
      <c r="E127" s="34" t="str">
        <f t="shared" si="11"/>
        <v>Daniel K.</v>
      </c>
      <c r="F127" s="34" t="str">
        <f t="shared" si="12"/>
        <v>DANIEL KING</v>
      </c>
      <c r="G127" s="34" t="str">
        <f t="shared" si="13"/>
        <v>daniel king</v>
      </c>
      <c r="H127" s="34" t="str">
        <f t="shared" si="14"/>
        <v>Daniel King</v>
      </c>
      <c r="I127" s="34">
        <f t="shared" si="15"/>
        <v>11</v>
      </c>
      <c r="J127" s="34" t="str">
        <f>IF('Final Project Dataset'!G127="Electronics","ELEC",IF('Final Project Dataset'!G127="Furniture","FURN",IF('Final Project Dataset'!G127="Appliances","APPL","")))</f>
        <v>FURN</v>
      </c>
      <c r="K127" s="34" t="str">
        <f>IF('Final Project Dataset'!K127="North","N",IF('Final Project Dataset'!K127="South","S",IF('Final Project Dataset'!K127="East","E",IF('Final Project Dataset'!K127="West","W",IF('Final Project Dataset'!K127="Central","C","")))))</f>
        <v>C</v>
      </c>
      <c r="L127" s="34" t="str">
        <f>IF('Final Project Dataset'!L127="Premium","PREM",IF('Final Project Dataset'!L127="Standard","STND",IF('Final Project Dataset'!L127="Basic","BASC","")))</f>
        <v>STND</v>
      </c>
      <c r="M127" s="34" t="str">
        <f>IF('Final Project Dataset'!J127="Credit Card","CC",IF('Final Project Dataset'!J127="Debit Card","DC",IF('Final Project Dataset'!J127="PayPal","PP",IF('Final Project Dataset'!J127="Cash","CSH",""))))</f>
        <v>CC</v>
      </c>
    </row>
    <row r="128" spans="1:13">
      <c r="A128" s="34" t="str">
        <f>'Final Project Dataset'!D128</f>
        <v>George Adams</v>
      </c>
      <c r="B128" s="34" t="str">
        <f t="shared" si="8"/>
        <v>George</v>
      </c>
      <c r="C128" s="34" t="str">
        <f t="shared" si="9"/>
        <v>Adams</v>
      </c>
      <c r="D128" s="34" t="str">
        <f t="shared" si="10"/>
        <v>G.A.</v>
      </c>
      <c r="E128" s="34" t="str">
        <f t="shared" si="11"/>
        <v>George A.</v>
      </c>
      <c r="F128" s="34" t="str">
        <f t="shared" si="12"/>
        <v>GEORGE ADAMS</v>
      </c>
      <c r="G128" s="34" t="str">
        <f t="shared" si="13"/>
        <v>george adams</v>
      </c>
      <c r="H128" s="34" t="str">
        <f t="shared" si="14"/>
        <v>George Adams</v>
      </c>
      <c r="I128" s="34">
        <f t="shared" si="15"/>
        <v>12</v>
      </c>
      <c r="J128" s="34" t="str">
        <f>IF('Final Project Dataset'!G128="Electronics","ELEC",IF('Final Project Dataset'!G128="Furniture","FURN",IF('Final Project Dataset'!G128="Appliances","APPL","")))</f>
        <v>ELEC</v>
      </c>
      <c r="K128" s="34" t="str">
        <f>IF('Final Project Dataset'!K128="North","N",IF('Final Project Dataset'!K128="South","S",IF('Final Project Dataset'!K128="East","E",IF('Final Project Dataset'!K128="West","W",IF('Final Project Dataset'!K128="Central","C","")))))</f>
        <v>W</v>
      </c>
      <c r="L128" s="34" t="str">
        <f>IF('Final Project Dataset'!L128="Premium","PREM",IF('Final Project Dataset'!L128="Standard","STND",IF('Final Project Dataset'!L128="Basic","BASC","")))</f>
        <v>BASC</v>
      </c>
      <c r="M128" s="34" t="str">
        <f>IF('Final Project Dataset'!J128="Credit Card","CC",IF('Final Project Dataset'!J128="Debit Card","DC",IF('Final Project Dataset'!J128="PayPal","PP",IF('Final Project Dataset'!J128="Cash","CSH",""))))</f>
        <v>PP</v>
      </c>
    </row>
    <row r="129" spans="1:13">
      <c r="A129" s="34" t="str">
        <f>'Final Project Dataset'!D129</f>
        <v>Barbara Young</v>
      </c>
      <c r="B129" s="34" t="str">
        <f t="shared" si="8"/>
        <v>Barbara</v>
      </c>
      <c r="C129" s="34" t="str">
        <f t="shared" si="9"/>
        <v>Young</v>
      </c>
      <c r="D129" s="34" t="str">
        <f t="shared" si="10"/>
        <v>B.Y.</v>
      </c>
      <c r="E129" s="34" t="str">
        <f t="shared" si="11"/>
        <v>Barbara Y.</v>
      </c>
      <c r="F129" s="34" t="str">
        <f t="shared" si="12"/>
        <v>BARBARA YOUNG</v>
      </c>
      <c r="G129" s="34" t="str">
        <f t="shared" si="13"/>
        <v>barbara young</v>
      </c>
      <c r="H129" s="34" t="str">
        <f t="shared" si="14"/>
        <v>Barbara Young</v>
      </c>
      <c r="I129" s="34">
        <f t="shared" si="15"/>
        <v>13</v>
      </c>
      <c r="J129" s="34" t="str">
        <f>IF('Final Project Dataset'!G129="Electronics","ELEC",IF('Final Project Dataset'!G129="Furniture","FURN",IF('Final Project Dataset'!G129="Appliances","APPL","")))</f>
        <v>ELEC</v>
      </c>
      <c r="K129" s="34" t="str">
        <f>IF('Final Project Dataset'!K129="North","N",IF('Final Project Dataset'!K129="South","S",IF('Final Project Dataset'!K129="East","E",IF('Final Project Dataset'!K129="West","W",IF('Final Project Dataset'!K129="Central","C","")))))</f>
        <v>E</v>
      </c>
      <c r="L129" s="34" t="str">
        <f>IF('Final Project Dataset'!L129="Premium","PREM",IF('Final Project Dataset'!L129="Standard","STND",IF('Final Project Dataset'!L129="Basic","BASC","")))</f>
        <v>STND</v>
      </c>
      <c r="M129" s="34" t="str">
        <f>IF('Final Project Dataset'!J129="Credit Card","CC",IF('Final Project Dataset'!J129="Debit Card","DC",IF('Final Project Dataset'!J129="PayPal","PP",IF('Final Project Dataset'!J129="Cash","CSH",""))))</f>
        <v>CSH</v>
      </c>
    </row>
    <row r="130" spans="1:13">
      <c r="A130" s="34" t="str">
        <f>'Final Project Dataset'!D130</f>
        <v>Raymond Ross</v>
      </c>
      <c r="B130" s="34" t="str">
        <f t="shared" si="8"/>
        <v>Raymond</v>
      </c>
      <c r="C130" s="34" t="str">
        <f t="shared" si="9"/>
        <v>Ross</v>
      </c>
      <c r="D130" s="34" t="str">
        <f t="shared" si="10"/>
        <v>R.R.</v>
      </c>
      <c r="E130" s="34" t="str">
        <f t="shared" si="11"/>
        <v>Raymond R.</v>
      </c>
      <c r="F130" s="34" t="str">
        <f t="shared" si="12"/>
        <v>RAYMOND ROSS</v>
      </c>
      <c r="G130" s="34" t="str">
        <f t="shared" si="13"/>
        <v>raymond ross</v>
      </c>
      <c r="H130" s="34" t="str">
        <f t="shared" si="14"/>
        <v>Raymond Ross</v>
      </c>
      <c r="I130" s="34">
        <f t="shared" si="15"/>
        <v>12</v>
      </c>
      <c r="J130" s="34" t="str">
        <f>IF('Final Project Dataset'!G130="Electronics","ELEC",IF('Final Project Dataset'!G130="Furniture","FURN",IF('Final Project Dataset'!G130="Appliances","APPL","")))</f>
        <v>ELEC</v>
      </c>
      <c r="K130" s="34" t="str">
        <f>IF('Final Project Dataset'!K130="North","N",IF('Final Project Dataset'!K130="South","S",IF('Final Project Dataset'!K130="East","E",IF('Final Project Dataset'!K130="West","W",IF('Final Project Dataset'!K130="Central","C","")))))</f>
        <v>C</v>
      </c>
      <c r="L130" s="34" t="str">
        <f>IF('Final Project Dataset'!L130="Premium","PREM",IF('Final Project Dataset'!L130="Standard","STND",IF('Final Project Dataset'!L130="Basic","BASC","")))</f>
        <v>BASC</v>
      </c>
      <c r="M130" s="34" t="str">
        <f>IF('Final Project Dataset'!J130="Credit Card","CC",IF('Final Project Dataset'!J130="Debit Card","DC",IF('Final Project Dataset'!J130="PayPal","PP",IF('Final Project Dataset'!J130="Cash","CSH",""))))</f>
        <v>CC</v>
      </c>
    </row>
    <row r="131" spans="1:13">
      <c r="A131" s="34" t="str">
        <f>'Final Project Dataset'!D131</f>
        <v>Sharon Butler</v>
      </c>
      <c r="B131" s="34" t="str">
        <f t="shared" ref="B131:B194" si="16">LEFT(A131,FIND(" ",A131)-1)</f>
        <v>Sharon</v>
      </c>
      <c r="C131" s="34" t="str">
        <f t="shared" ref="C131:C194" si="17">MID(A131,FIND(" ",A131)+1,LEN(A131))</f>
        <v>Butler</v>
      </c>
      <c r="D131" s="34" t="str">
        <f t="shared" ref="D131:D194" si="18">LEFT(B131,1)&amp;"."&amp;LEFT(C131,1)&amp;"."</f>
        <v>S.B.</v>
      </c>
      <c r="E131" s="34" t="str">
        <f t="shared" ref="E131:E194" si="19">B131&amp;" "&amp;LEFT(C131,1)&amp;"."</f>
        <v>Sharon B.</v>
      </c>
      <c r="F131" s="34" t="str">
        <f t="shared" ref="F131:F194" si="20">UPPER(A131)</f>
        <v>SHARON BUTLER</v>
      </c>
      <c r="G131" s="34" t="str">
        <f t="shared" ref="G131:G194" si="21">LOWER(A131)</f>
        <v>sharon butler</v>
      </c>
      <c r="H131" s="34" t="str">
        <f t="shared" ref="H131:H194" si="22">PROPER(A131)</f>
        <v>Sharon Butler</v>
      </c>
      <c r="I131" s="34">
        <f t="shared" ref="I131:I194" si="23">LEN(A131)</f>
        <v>13</v>
      </c>
      <c r="J131" s="34" t="str">
        <f>IF('Final Project Dataset'!G131="Electronics","ELEC",IF('Final Project Dataset'!G131="Furniture","FURN",IF('Final Project Dataset'!G131="Appliances","APPL","")))</f>
        <v>ELEC</v>
      </c>
      <c r="K131" s="34" t="str">
        <f>IF('Final Project Dataset'!K131="North","N",IF('Final Project Dataset'!K131="South","S",IF('Final Project Dataset'!K131="East","E",IF('Final Project Dataset'!K131="West","W",IF('Final Project Dataset'!K131="Central","C","")))))</f>
        <v>E</v>
      </c>
      <c r="L131" s="34" t="str">
        <f>IF('Final Project Dataset'!L131="Premium","PREM",IF('Final Project Dataset'!L131="Standard","STND",IF('Final Project Dataset'!L131="Basic","BASC","")))</f>
        <v>STND</v>
      </c>
      <c r="M131" s="34" t="str">
        <f>IF('Final Project Dataset'!J131="Credit Card","CC",IF('Final Project Dataset'!J131="Debit Card","DC",IF('Final Project Dataset'!J131="PayPal","PP",IF('Final Project Dataset'!J131="Cash","CSH",""))))</f>
        <v>CC</v>
      </c>
    </row>
    <row r="132" spans="1:13">
      <c r="A132" s="34" t="str">
        <f>'Final Project Dataset'!D132</f>
        <v>Lawrence Reed</v>
      </c>
      <c r="B132" s="34" t="str">
        <f t="shared" si="16"/>
        <v>Lawrence</v>
      </c>
      <c r="C132" s="34" t="str">
        <f t="shared" si="17"/>
        <v>Reed</v>
      </c>
      <c r="D132" s="34" t="str">
        <f t="shared" si="18"/>
        <v>L.R.</v>
      </c>
      <c r="E132" s="34" t="str">
        <f t="shared" si="19"/>
        <v>Lawrence R.</v>
      </c>
      <c r="F132" s="34" t="str">
        <f t="shared" si="20"/>
        <v>LAWRENCE REED</v>
      </c>
      <c r="G132" s="34" t="str">
        <f t="shared" si="21"/>
        <v>lawrence reed</v>
      </c>
      <c r="H132" s="34" t="str">
        <f t="shared" si="22"/>
        <v>Lawrence Reed</v>
      </c>
      <c r="I132" s="34">
        <f t="shared" si="23"/>
        <v>13</v>
      </c>
      <c r="J132" s="34" t="str">
        <f>IF('Final Project Dataset'!G132="Electronics","ELEC",IF('Final Project Dataset'!G132="Furniture","FURN",IF('Final Project Dataset'!G132="Appliances","APPL","")))</f>
        <v>ELEC</v>
      </c>
      <c r="K132" s="34" t="str">
        <f>IF('Final Project Dataset'!K132="North","N",IF('Final Project Dataset'!K132="South","S",IF('Final Project Dataset'!K132="East","E",IF('Final Project Dataset'!K132="West","W",IF('Final Project Dataset'!K132="Central","C","")))))</f>
        <v>W</v>
      </c>
      <c r="L132" s="34" t="str">
        <f>IF('Final Project Dataset'!L132="Premium","PREM",IF('Final Project Dataset'!L132="Standard","STND",IF('Final Project Dataset'!L132="Basic","BASC","")))</f>
        <v>BASC</v>
      </c>
      <c r="M132" s="34" t="str">
        <f>IF('Final Project Dataset'!J132="Credit Card","CC",IF('Final Project Dataset'!J132="Debit Card","DC",IF('Final Project Dataset'!J132="PayPal","PP",IF('Final Project Dataset'!J132="Cash","CSH",""))))</f>
        <v>CC</v>
      </c>
    </row>
    <row r="133" spans="1:13">
      <c r="A133" s="34" t="str">
        <f>'Final Project Dataset'!D133</f>
        <v>Lawrence Reed</v>
      </c>
      <c r="B133" s="34" t="str">
        <f t="shared" si="16"/>
        <v>Lawrence</v>
      </c>
      <c r="C133" s="34" t="str">
        <f t="shared" si="17"/>
        <v>Reed</v>
      </c>
      <c r="D133" s="34" t="str">
        <f t="shared" si="18"/>
        <v>L.R.</v>
      </c>
      <c r="E133" s="34" t="str">
        <f t="shared" si="19"/>
        <v>Lawrence R.</v>
      </c>
      <c r="F133" s="34" t="str">
        <f t="shared" si="20"/>
        <v>LAWRENCE REED</v>
      </c>
      <c r="G133" s="34" t="str">
        <f t="shared" si="21"/>
        <v>lawrence reed</v>
      </c>
      <c r="H133" s="34" t="str">
        <f t="shared" si="22"/>
        <v>Lawrence Reed</v>
      </c>
      <c r="I133" s="34">
        <f t="shared" si="23"/>
        <v>13</v>
      </c>
      <c r="J133" s="34" t="str">
        <f>IF('Final Project Dataset'!G133="Electronics","ELEC",IF('Final Project Dataset'!G133="Furniture","FURN",IF('Final Project Dataset'!G133="Appliances","APPL","")))</f>
        <v>ELEC</v>
      </c>
      <c r="K133" s="34" t="str">
        <f>IF('Final Project Dataset'!K133="North","N",IF('Final Project Dataset'!K133="South","S",IF('Final Project Dataset'!K133="East","E",IF('Final Project Dataset'!K133="West","W",IF('Final Project Dataset'!K133="Central","C","")))))</f>
        <v>C</v>
      </c>
      <c r="L133" s="34" t="str">
        <f>IF('Final Project Dataset'!L133="Premium","PREM",IF('Final Project Dataset'!L133="Standard","STND",IF('Final Project Dataset'!L133="Basic","BASC","")))</f>
        <v>BASC</v>
      </c>
      <c r="M133" s="34" t="str">
        <f>IF('Final Project Dataset'!J133="Credit Card","CC",IF('Final Project Dataset'!J133="Debit Card","DC",IF('Final Project Dataset'!J133="PayPal","PP",IF('Final Project Dataset'!J133="Cash","CSH",""))))</f>
        <v>PP</v>
      </c>
    </row>
    <row r="134" spans="1:13">
      <c r="A134" s="34" t="str">
        <f>'Final Project Dataset'!D134</f>
        <v>Kathleen Bennett</v>
      </c>
      <c r="B134" s="34" t="str">
        <f t="shared" si="16"/>
        <v>Kathleen</v>
      </c>
      <c r="C134" s="34" t="str">
        <f t="shared" si="17"/>
        <v>Bennett</v>
      </c>
      <c r="D134" s="34" t="str">
        <f t="shared" si="18"/>
        <v>K.B.</v>
      </c>
      <c r="E134" s="34" t="str">
        <f t="shared" si="19"/>
        <v>Kathleen B.</v>
      </c>
      <c r="F134" s="34" t="str">
        <f t="shared" si="20"/>
        <v>KATHLEEN BENNETT</v>
      </c>
      <c r="G134" s="34" t="str">
        <f t="shared" si="21"/>
        <v>kathleen bennett</v>
      </c>
      <c r="H134" s="34" t="str">
        <f t="shared" si="22"/>
        <v>Kathleen Bennett</v>
      </c>
      <c r="I134" s="34">
        <f t="shared" si="23"/>
        <v>16</v>
      </c>
      <c r="J134" s="34" t="str">
        <f>IF('Final Project Dataset'!G134="Electronics","ELEC",IF('Final Project Dataset'!G134="Furniture","FURN",IF('Final Project Dataset'!G134="Appliances","APPL","")))</f>
        <v>ELEC</v>
      </c>
      <c r="K134" s="34" t="str">
        <f>IF('Final Project Dataset'!K134="North","N",IF('Final Project Dataset'!K134="South","S",IF('Final Project Dataset'!K134="East","E",IF('Final Project Dataset'!K134="West","W",IF('Final Project Dataset'!K134="Central","C","")))))</f>
        <v>C</v>
      </c>
      <c r="L134" s="34" t="str">
        <f>IF('Final Project Dataset'!L134="Premium","PREM",IF('Final Project Dataset'!L134="Standard","STND",IF('Final Project Dataset'!L134="Basic","BASC","")))</f>
        <v>BASC</v>
      </c>
      <c r="M134" s="34" t="str">
        <f>IF('Final Project Dataset'!J134="Credit Card","CC",IF('Final Project Dataset'!J134="Debit Card","DC",IF('Final Project Dataset'!J134="PayPal","PP",IF('Final Project Dataset'!J134="Cash","CSH",""))))</f>
        <v>PP</v>
      </c>
    </row>
    <row r="135" spans="1:13">
      <c r="A135" s="34" t="str">
        <f>'Final Project Dataset'!D135</f>
        <v>Sarah Davis</v>
      </c>
      <c r="B135" s="34" t="str">
        <f t="shared" si="16"/>
        <v>Sarah</v>
      </c>
      <c r="C135" s="34" t="str">
        <f t="shared" si="17"/>
        <v>Davis</v>
      </c>
      <c r="D135" s="34" t="str">
        <f t="shared" si="18"/>
        <v>S.D.</v>
      </c>
      <c r="E135" s="34" t="str">
        <f t="shared" si="19"/>
        <v>Sarah D.</v>
      </c>
      <c r="F135" s="34" t="str">
        <f t="shared" si="20"/>
        <v>SARAH DAVIS</v>
      </c>
      <c r="G135" s="34" t="str">
        <f t="shared" si="21"/>
        <v>sarah davis</v>
      </c>
      <c r="H135" s="34" t="str">
        <f t="shared" si="22"/>
        <v>Sarah Davis</v>
      </c>
      <c r="I135" s="34">
        <f t="shared" si="23"/>
        <v>11</v>
      </c>
      <c r="J135" s="34" t="str">
        <f>IF('Final Project Dataset'!G135="Electronics","ELEC",IF('Final Project Dataset'!G135="Furniture","FURN",IF('Final Project Dataset'!G135="Appliances","APPL","")))</f>
        <v>ELEC</v>
      </c>
      <c r="K135" s="34" t="str">
        <f>IF('Final Project Dataset'!K135="North","N",IF('Final Project Dataset'!K135="South","S",IF('Final Project Dataset'!K135="East","E",IF('Final Project Dataset'!K135="West","W",IF('Final Project Dataset'!K135="Central","C","")))))</f>
        <v>C</v>
      </c>
      <c r="L135" s="34" t="str">
        <f>IF('Final Project Dataset'!L135="Premium","PREM",IF('Final Project Dataset'!L135="Standard","STND",IF('Final Project Dataset'!L135="Basic","BASC","")))</f>
        <v>BASC</v>
      </c>
      <c r="M135" s="34" t="str">
        <f>IF('Final Project Dataset'!J135="Credit Card","CC",IF('Final Project Dataset'!J135="Debit Card","DC",IF('Final Project Dataset'!J135="PayPal","PP",IF('Final Project Dataset'!J135="Cash","CSH",""))))</f>
        <v>CSH</v>
      </c>
    </row>
    <row r="136" spans="1:13">
      <c r="A136" s="34" t="str">
        <f>'Final Project Dataset'!D136</f>
        <v>Betty Campbell</v>
      </c>
      <c r="B136" s="34" t="str">
        <f t="shared" si="16"/>
        <v>Betty</v>
      </c>
      <c r="C136" s="34" t="str">
        <f t="shared" si="17"/>
        <v>Campbell</v>
      </c>
      <c r="D136" s="34" t="str">
        <f t="shared" si="18"/>
        <v>B.C.</v>
      </c>
      <c r="E136" s="34" t="str">
        <f t="shared" si="19"/>
        <v>Betty C.</v>
      </c>
      <c r="F136" s="34" t="str">
        <f t="shared" si="20"/>
        <v>BETTY CAMPBELL</v>
      </c>
      <c r="G136" s="34" t="str">
        <f t="shared" si="21"/>
        <v>betty campbell</v>
      </c>
      <c r="H136" s="34" t="str">
        <f t="shared" si="22"/>
        <v>Betty Campbell</v>
      </c>
      <c r="I136" s="34">
        <f t="shared" si="23"/>
        <v>14</v>
      </c>
      <c r="J136" s="34" t="str">
        <f>IF('Final Project Dataset'!G136="Electronics","ELEC",IF('Final Project Dataset'!G136="Furniture","FURN",IF('Final Project Dataset'!G136="Appliances","APPL","")))</f>
        <v>ELEC</v>
      </c>
      <c r="K136" s="34" t="str">
        <f>IF('Final Project Dataset'!K136="North","N",IF('Final Project Dataset'!K136="South","S",IF('Final Project Dataset'!K136="East","E",IF('Final Project Dataset'!K136="West","W",IF('Final Project Dataset'!K136="Central","C","")))))</f>
        <v>N</v>
      </c>
      <c r="L136" s="34" t="str">
        <f>IF('Final Project Dataset'!L136="Premium","PREM",IF('Final Project Dataset'!L136="Standard","STND",IF('Final Project Dataset'!L136="Basic","BASC","")))</f>
        <v>PREM</v>
      </c>
      <c r="M136" s="34" t="str">
        <f>IF('Final Project Dataset'!J136="Credit Card","CC",IF('Final Project Dataset'!J136="Debit Card","DC",IF('Final Project Dataset'!J136="PayPal","PP",IF('Final Project Dataset'!J136="Cash","CSH",""))))</f>
        <v>CSH</v>
      </c>
    </row>
    <row r="137" spans="1:13">
      <c r="A137" s="34" t="str">
        <f>'Final Project Dataset'!D137</f>
        <v>Raymond Ross</v>
      </c>
      <c r="B137" s="34" t="str">
        <f t="shared" si="16"/>
        <v>Raymond</v>
      </c>
      <c r="C137" s="34" t="str">
        <f t="shared" si="17"/>
        <v>Ross</v>
      </c>
      <c r="D137" s="34" t="str">
        <f t="shared" si="18"/>
        <v>R.R.</v>
      </c>
      <c r="E137" s="34" t="str">
        <f t="shared" si="19"/>
        <v>Raymond R.</v>
      </c>
      <c r="F137" s="34" t="str">
        <f t="shared" si="20"/>
        <v>RAYMOND ROSS</v>
      </c>
      <c r="G137" s="34" t="str">
        <f t="shared" si="21"/>
        <v>raymond ross</v>
      </c>
      <c r="H137" s="34" t="str">
        <f t="shared" si="22"/>
        <v>Raymond Ross</v>
      </c>
      <c r="I137" s="34">
        <f t="shared" si="23"/>
        <v>12</v>
      </c>
      <c r="J137" s="34" t="str">
        <f>IF('Final Project Dataset'!G137="Electronics","ELEC",IF('Final Project Dataset'!G137="Furniture","FURN",IF('Final Project Dataset'!G137="Appliances","APPL","")))</f>
        <v>ELEC</v>
      </c>
      <c r="K137" s="34" t="str">
        <f>IF('Final Project Dataset'!K137="North","N",IF('Final Project Dataset'!K137="South","S",IF('Final Project Dataset'!K137="East","E",IF('Final Project Dataset'!K137="West","W",IF('Final Project Dataset'!K137="Central","C","")))))</f>
        <v>N</v>
      </c>
      <c r="L137" s="34" t="str">
        <f>IF('Final Project Dataset'!L137="Premium","PREM",IF('Final Project Dataset'!L137="Standard","STND",IF('Final Project Dataset'!L137="Basic","BASC","")))</f>
        <v>STND</v>
      </c>
      <c r="M137" s="34" t="str">
        <f>IF('Final Project Dataset'!J137="Credit Card","CC",IF('Final Project Dataset'!J137="Debit Card","DC",IF('Final Project Dataset'!J137="PayPal","PP",IF('Final Project Dataset'!J137="Cash","CSH",""))))</f>
        <v>CC</v>
      </c>
    </row>
    <row r="138" spans="1:13">
      <c r="A138" s="34" t="str">
        <f>'Final Project Dataset'!D138</f>
        <v>Paul Baker</v>
      </c>
      <c r="B138" s="34" t="str">
        <f t="shared" si="16"/>
        <v>Paul</v>
      </c>
      <c r="C138" s="34" t="str">
        <f t="shared" si="17"/>
        <v>Baker</v>
      </c>
      <c r="D138" s="34" t="str">
        <f t="shared" si="18"/>
        <v>P.B.</v>
      </c>
      <c r="E138" s="34" t="str">
        <f t="shared" si="19"/>
        <v>Paul B.</v>
      </c>
      <c r="F138" s="34" t="str">
        <f t="shared" si="20"/>
        <v>PAUL BAKER</v>
      </c>
      <c r="G138" s="34" t="str">
        <f t="shared" si="21"/>
        <v>paul baker</v>
      </c>
      <c r="H138" s="34" t="str">
        <f t="shared" si="22"/>
        <v>Paul Baker</v>
      </c>
      <c r="I138" s="34">
        <f t="shared" si="23"/>
        <v>10</v>
      </c>
      <c r="J138" s="34" t="str">
        <f>IF('Final Project Dataset'!G138="Electronics","ELEC",IF('Final Project Dataset'!G138="Furniture","FURN",IF('Final Project Dataset'!G138="Appliances","APPL","")))</f>
        <v>ELEC</v>
      </c>
      <c r="K138" s="34" t="str">
        <f>IF('Final Project Dataset'!K138="North","N",IF('Final Project Dataset'!K138="South","S",IF('Final Project Dataset'!K138="East","E",IF('Final Project Dataset'!K138="West","W",IF('Final Project Dataset'!K138="Central","C","")))))</f>
        <v>S</v>
      </c>
      <c r="L138" s="34" t="str">
        <f>IF('Final Project Dataset'!L138="Premium","PREM",IF('Final Project Dataset'!L138="Standard","STND",IF('Final Project Dataset'!L138="Basic","BASC","")))</f>
        <v>STND</v>
      </c>
      <c r="M138" s="34" t="str">
        <f>IF('Final Project Dataset'!J138="Credit Card","CC",IF('Final Project Dataset'!J138="Debit Card","DC",IF('Final Project Dataset'!J138="PayPal","PP",IF('Final Project Dataset'!J138="Cash","CSH",""))))</f>
        <v>CC</v>
      </c>
    </row>
    <row r="139" spans="1:13">
      <c r="A139" s="34" t="str">
        <f>'Final Project Dataset'!D139</f>
        <v>Karen Hill</v>
      </c>
      <c r="B139" s="34" t="str">
        <f t="shared" si="16"/>
        <v>Karen</v>
      </c>
      <c r="C139" s="34" t="str">
        <f t="shared" si="17"/>
        <v>Hill</v>
      </c>
      <c r="D139" s="34" t="str">
        <f t="shared" si="18"/>
        <v>K.H.</v>
      </c>
      <c r="E139" s="34" t="str">
        <f t="shared" si="19"/>
        <v>Karen H.</v>
      </c>
      <c r="F139" s="34" t="str">
        <f t="shared" si="20"/>
        <v>KAREN HILL</v>
      </c>
      <c r="G139" s="34" t="str">
        <f t="shared" si="21"/>
        <v>karen hill</v>
      </c>
      <c r="H139" s="34" t="str">
        <f t="shared" si="22"/>
        <v>Karen Hill</v>
      </c>
      <c r="I139" s="34">
        <f t="shared" si="23"/>
        <v>10</v>
      </c>
      <c r="J139" s="34" t="str">
        <f>IF('Final Project Dataset'!G139="Electronics","ELEC",IF('Final Project Dataset'!G139="Furniture","FURN",IF('Final Project Dataset'!G139="Appliances","APPL","")))</f>
        <v>FURN</v>
      </c>
      <c r="K139" s="34" t="str">
        <f>IF('Final Project Dataset'!K139="North","N",IF('Final Project Dataset'!K139="South","S",IF('Final Project Dataset'!K139="East","E",IF('Final Project Dataset'!K139="West","W",IF('Final Project Dataset'!K139="Central","C","")))))</f>
        <v>S</v>
      </c>
      <c r="L139" s="34" t="str">
        <f>IF('Final Project Dataset'!L139="Premium","PREM",IF('Final Project Dataset'!L139="Standard","STND",IF('Final Project Dataset'!L139="Basic","BASC","")))</f>
        <v>STND</v>
      </c>
      <c r="M139" s="34" t="str">
        <f>IF('Final Project Dataset'!J139="Credit Card","CC",IF('Final Project Dataset'!J139="Debit Card","DC",IF('Final Project Dataset'!J139="PayPal","PP",IF('Final Project Dataset'!J139="Cash","CSH",""))))</f>
        <v>CC</v>
      </c>
    </row>
    <row r="140" spans="1:13">
      <c r="A140" s="34" t="str">
        <f>'Final Project Dataset'!D140</f>
        <v>Patricia Moore</v>
      </c>
      <c r="B140" s="34" t="str">
        <f t="shared" si="16"/>
        <v>Patricia</v>
      </c>
      <c r="C140" s="34" t="str">
        <f t="shared" si="17"/>
        <v>Moore</v>
      </c>
      <c r="D140" s="34" t="str">
        <f t="shared" si="18"/>
        <v>P.M.</v>
      </c>
      <c r="E140" s="34" t="str">
        <f t="shared" si="19"/>
        <v>Patricia M.</v>
      </c>
      <c r="F140" s="34" t="str">
        <f t="shared" si="20"/>
        <v>PATRICIA MOORE</v>
      </c>
      <c r="G140" s="34" t="str">
        <f t="shared" si="21"/>
        <v>patricia moore</v>
      </c>
      <c r="H140" s="34" t="str">
        <f t="shared" si="22"/>
        <v>Patricia Moore</v>
      </c>
      <c r="I140" s="34">
        <f t="shared" si="23"/>
        <v>14</v>
      </c>
      <c r="J140" s="34" t="str">
        <f>IF('Final Project Dataset'!G140="Electronics","ELEC",IF('Final Project Dataset'!G140="Furniture","FURN",IF('Final Project Dataset'!G140="Appliances","APPL","")))</f>
        <v>ELEC</v>
      </c>
      <c r="K140" s="34" t="str">
        <f>IF('Final Project Dataset'!K140="North","N",IF('Final Project Dataset'!K140="South","S",IF('Final Project Dataset'!K140="East","E",IF('Final Project Dataset'!K140="West","W",IF('Final Project Dataset'!K140="Central","C","")))))</f>
        <v>N</v>
      </c>
      <c r="L140" s="34" t="str">
        <f>IF('Final Project Dataset'!L140="Premium","PREM",IF('Final Project Dataset'!L140="Standard","STND",IF('Final Project Dataset'!L140="Basic","BASC","")))</f>
        <v>PREM</v>
      </c>
      <c r="M140" s="34" t="str">
        <f>IF('Final Project Dataset'!J140="Credit Card","CC",IF('Final Project Dataset'!J140="Debit Card","DC",IF('Final Project Dataset'!J140="PayPal","PP",IF('Final Project Dataset'!J140="Cash","CSH",""))))</f>
        <v>CC</v>
      </c>
    </row>
    <row r="141" spans="1:13">
      <c r="A141" s="34" t="str">
        <f>'Final Project Dataset'!D141</f>
        <v>Maria Garcia</v>
      </c>
      <c r="B141" s="34" t="str">
        <f t="shared" si="16"/>
        <v>Maria</v>
      </c>
      <c r="C141" s="34" t="str">
        <f t="shared" si="17"/>
        <v>Garcia</v>
      </c>
      <c r="D141" s="34" t="str">
        <f t="shared" si="18"/>
        <v>M.G.</v>
      </c>
      <c r="E141" s="34" t="str">
        <f t="shared" si="19"/>
        <v>Maria G.</v>
      </c>
      <c r="F141" s="34" t="str">
        <f t="shared" si="20"/>
        <v>MARIA GARCIA</v>
      </c>
      <c r="G141" s="34" t="str">
        <f t="shared" si="21"/>
        <v>maria garcia</v>
      </c>
      <c r="H141" s="34" t="str">
        <f t="shared" si="22"/>
        <v>Maria Garcia</v>
      </c>
      <c r="I141" s="34">
        <f t="shared" si="23"/>
        <v>12</v>
      </c>
      <c r="J141" s="34" t="str">
        <f>IF('Final Project Dataset'!G141="Electronics","ELEC",IF('Final Project Dataset'!G141="Furniture","FURN",IF('Final Project Dataset'!G141="Appliances","APPL","")))</f>
        <v>FURN</v>
      </c>
      <c r="K141" s="34" t="str">
        <f>IF('Final Project Dataset'!K141="North","N",IF('Final Project Dataset'!K141="South","S",IF('Final Project Dataset'!K141="East","E",IF('Final Project Dataset'!K141="West","W",IF('Final Project Dataset'!K141="Central","C","")))))</f>
        <v>W</v>
      </c>
      <c r="L141" s="34" t="str">
        <f>IF('Final Project Dataset'!L141="Premium","PREM",IF('Final Project Dataset'!L141="Standard","STND",IF('Final Project Dataset'!L141="Basic","BASC","")))</f>
        <v>PREM</v>
      </c>
      <c r="M141" s="34" t="str">
        <f>IF('Final Project Dataset'!J141="Credit Card","CC",IF('Final Project Dataset'!J141="Debit Card","DC",IF('Final Project Dataset'!J141="PayPal","PP",IF('Final Project Dataset'!J141="Cash","CSH",""))))</f>
        <v>CC</v>
      </c>
    </row>
    <row r="142" spans="1:13">
      <c r="A142" s="34" t="str">
        <f>'Final Project Dataset'!D142</f>
        <v>Margaret Wright</v>
      </c>
      <c r="B142" s="34" t="str">
        <f t="shared" si="16"/>
        <v>Margaret</v>
      </c>
      <c r="C142" s="34" t="str">
        <f t="shared" si="17"/>
        <v>Wright</v>
      </c>
      <c r="D142" s="34" t="str">
        <f t="shared" si="18"/>
        <v>M.W.</v>
      </c>
      <c r="E142" s="34" t="str">
        <f t="shared" si="19"/>
        <v>Margaret W.</v>
      </c>
      <c r="F142" s="34" t="str">
        <f t="shared" si="20"/>
        <v>MARGARET WRIGHT</v>
      </c>
      <c r="G142" s="34" t="str">
        <f t="shared" si="21"/>
        <v>margaret wright</v>
      </c>
      <c r="H142" s="34" t="str">
        <f t="shared" si="22"/>
        <v>Margaret Wright</v>
      </c>
      <c r="I142" s="34">
        <f t="shared" si="23"/>
        <v>15</v>
      </c>
      <c r="J142" s="34" t="str">
        <f>IF('Final Project Dataset'!G142="Electronics","ELEC",IF('Final Project Dataset'!G142="Furniture","FURN",IF('Final Project Dataset'!G142="Appliances","APPL","")))</f>
        <v>ELEC</v>
      </c>
      <c r="K142" s="34" t="str">
        <f>IF('Final Project Dataset'!K142="North","N",IF('Final Project Dataset'!K142="South","S",IF('Final Project Dataset'!K142="East","E",IF('Final Project Dataset'!K142="West","W",IF('Final Project Dataset'!K142="Central","C","")))))</f>
        <v>N</v>
      </c>
      <c r="L142" s="34" t="str">
        <f>IF('Final Project Dataset'!L142="Premium","PREM",IF('Final Project Dataset'!L142="Standard","STND",IF('Final Project Dataset'!L142="Basic","BASC","")))</f>
        <v>PREM</v>
      </c>
      <c r="M142" s="34" t="str">
        <f>IF('Final Project Dataset'!J142="Credit Card","CC",IF('Final Project Dataset'!J142="Debit Card","DC",IF('Final Project Dataset'!J142="PayPal","PP",IF('Final Project Dataset'!J142="Cash","CSH",""))))</f>
        <v>CC</v>
      </c>
    </row>
    <row r="143" spans="1:13">
      <c r="A143" s="34" t="str">
        <f>'Final Project Dataset'!D143</f>
        <v>Peter Richardson</v>
      </c>
      <c r="B143" s="34" t="str">
        <f t="shared" si="16"/>
        <v>Peter</v>
      </c>
      <c r="C143" s="34" t="str">
        <f t="shared" si="17"/>
        <v>Richardson</v>
      </c>
      <c r="D143" s="34" t="str">
        <f t="shared" si="18"/>
        <v>P.R.</v>
      </c>
      <c r="E143" s="34" t="str">
        <f t="shared" si="19"/>
        <v>Peter R.</v>
      </c>
      <c r="F143" s="34" t="str">
        <f t="shared" si="20"/>
        <v>PETER RICHARDSON</v>
      </c>
      <c r="G143" s="34" t="str">
        <f t="shared" si="21"/>
        <v>peter richardson</v>
      </c>
      <c r="H143" s="34" t="str">
        <f t="shared" si="22"/>
        <v>Peter Richardson</v>
      </c>
      <c r="I143" s="34">
        <f t="shared" si="23"/>
        <v>16</v>
      </c>
      <c r="J143" s="34" t="str">
        <f>IF('Final Project Dataset'!G143="Electronics","ELEC",IF('Final Project Dataset'!G143="Furniture","FURN",IF('Final Project Dataset'!G143="Appliances","APPL","")))</f>
        <v>ELEC</v>
      </c>
      <c r="K143" s="34" t="str">
        <f>IF('Final Project Dataset'!K143="North","N",IF('Final Project Dataset'!K143="South","S",IF('Final Project Dataset'!K143="East","E",IF('Final Project Dataset'!K143="West","W",IF('Final Project Dataset'!K143="Central","C","")))))</f>
        <v>N</v>
      </c>
      <c r="L143" s="34" t="str">
        <f>IF('Final Project Dataset'!L143="Premium","PREM",IF('Final Project Dataset'!L143="Standard","STND",IF('Final Project Dataset'!L143="Basic","BASC","")))</f>
        <v>BASC</v>
      </c>
      <c r="M143" s="34" t="str">
        <f>IF('Final Project Dataset'!J143="Credit Card","CC",IF('Final Project Dataset'!J143="Debit Card","DC",IF('Final Project Dataset'!J143="PayPal","PP",IF('Final Project Dataset'!J143="Cash","CSH",""))))</f>
        <v>CSH</v>
      </c>
    </row>
    <row r="144" spans="1:13">
      <c r="A144" s="34" t="str">
        <f>'Final Project Dataset'!D144</f>
        <v>Paul Baker</v>
      </c>
      <c r="B144" s="34" t="str">
        <f t="shared" si="16"/>
        <v>Paul</v>
      </c>
      <c r="C144" s="34" t="str">
        <f t="shared" si="17"/>
        <v>Baker</v>
      </c>
      <c r="D144" s="34" t="str">
        <f t="shared" si="18"/>
        <v>P.B.</v>
      </c>
      <c r="E144" s="34" t="str">
        <f t="shared" si="19"/>
        <v>Paul B.</v>
      </c>
      <c r="F144" s="34" t="str">
        <f t="shared" si="20"/>
        <v>PAUL BAKER</v>
      </c>
      <c r="G144" s="34" t="str">
        <f t="shared" si="21"/>
        <v>paul baker</v>
      </c>
      <c r="H144" s="34" t="str">
        <f t="shared" si="22"/>
        <v>Paul Baker</v>
      </c>
      <c r="I144" s="34">
        <f t="shared" si="23"/>
        <v>10</v>
      </c>
      <c r="J144" s="34" t="str">
        <f>IF('Final Project Dataset'!G144="Electronics","ELEC",IF('Final Project Dataset'!G144="Furniture","FURN",IF('Final Project Dataset'!G144="Appliances","APPL","")))</f>
        <v>APPL</v>
      </c>
      <c r="K144" s="34" t="str">
        <f>IF('Final Project Dataset'!K144="North","N",IF('Final Project Dataset'!K144="South","S",IF('Final Project Dataset'!K144="East","E",IF('Final Project Dataset'!K144="West","W",IF('Final Project Dataset'!K144="Central","C","")))))</f>
        <v>W</v>
      </c>
      <c r="L144" s="34" t="str">
        <f>IF('Final Project Dataset'!L144="Premium","PREM",IF('Final Project Dataset'!L144="Standard","STND",IF('Final Project Dataset'!L144="Basic","BASC","")))</f>
        <v>PREM</v>
      </c>
      <c r="M144" s="34" t="str">
        <f>IF('Final Project Dataset'!J144="Credit Card","CC",IF('Final Project Dataset'!J144="Debit Card","DC",IF('Final Project Dataset'!J144="PayPal","PP",IF('Final Project Dataset'!J144="Cash","CSH",""))))</f>
        <v>PP</v>
      </c>
    </row>
    <row r="145" spans="1:13">
      <c r="A145" s="34" t="str">
        <f>'Final Project Dataset'!D145</f>
        <v>Patricia Moore</v>
      </c>
      <c r="B145" s="34" t="str">
        <f t="shared" si="16"/>
        <v>Patricia</v>
      </c>
      <c r="C145" s="34" t="str">
        <f t="shared" si="17"/>
        <v>Moore</v>
      </c>
      <c r="D145" s="34" t="str">
        <f t="shared" si="18"/>
        <v>P.M.</v>
      </c>
      <c r="E145" s="34" t="str">
        <f t="shared" si="19"/>
        <v>Patricia M.</v>
      </c>
      <c r="F145" s="34" t="str">
        <f t="shared" si="20"/>
        <v>PATRICIA MOORE</v>
      </c>
      <c r="G145" s="34" t="str">
        <f t="shared" si="21"/>
        <v>patricia moore</v>
      </c>
      <c r="H145" s="34" t="str">
        <f t="shared" si="22"/>
        <v>Patricia Moore</v>
      </c>
      <c r="I145" s="34">
        <f t="shared" si="23"/>
        <v>14</v>
      </c>
      <c r="J145" s="34" t="str">
        <f>IF('Final Project Dataset'!G145="Electronics","ELEC",IF('Final Project Dataset'!G145="Furniture","FURN",IF('Final Project Dataset'!G145="Appliances","APPL","")))</f>
        <v>ELEC</v>
      </c>
      <c r="K145" s="34" t="str">
        <f>IF('Final Project Dataset'!K145="North","N",IF('Final Project Dataset'!K145="South","S",IF('Final Project Dataset'!K145="East","E",IF('Final Project Dataset'!K145="West","W",IF('Final Project Dataset'!K145="Central","C","")))))</f>
        <v>W</v>
      </c>
      <c r="L145" s="34" t="str">
        <f>IF('Final Project Dataset'!L145="Premium","PREM",IF('Final Project Dataset'!L145="Standard","STND",IF('Final Project Dataset'!L145="Basic","BASC","")))</f>
        <v>STND</v>
      </c>
      <c r="M145" s="34" t="str">
        <f>IF('Final Project Dataset'!J145="Credit Card","CC",IF('Final Project Dataset'!J145="Debit Card","DC",IF('Final Project Dataset'!J145="PayPal","PP",IF('Final Project Dataset'!J145="Cash","CSH",""))))</f>
        <v>CC</v>
      </c>
    </row>
    <row r="146" spans="1:13">
      <c r="A146" s="34" t="str">
        <f>'Final Project Dataset'!D146</f>
        <v>Sarah Davis</v>
      </c>
      <c r="B146" s="34" t="str">
        <f t="shared" si="16"/>
        <v>Sarah</v>
      </c>
      <c r="C146" s="34" t="str">
        <f t="shared" si="17"/>
        <v>Davis</v>
      </c>
      <c r="D146" s="34" t="str">
        <f t="shared" si="18"/>
        <v>S.D.</v>
      </c>
      <c r="E146" s="34" t="str">
        <f t="shared" si="19"/>
        <v>Sarah D.</v>
      </c>
      <c r="F146" s="34" t="str">
        <f t="shared" si="20"/>
        <v>SARAH DAVIS</v>
      </c>
      <c r="G146" s="34" t="str">
        <f t="shared" si="21"/>
        <v>sarah davis</v>
      </c>
      <c r="H146" s="34" t="str">
        <f t="shared" si="22"/>
        <v>Sarah Davis</v>
      </c>
      <c r="I146" s="34">
        <f t="shared" si="23"/>
        <v>11</v>
      </c>
      <c r="J146" s="34" t="str">
        <f>IF('Final Project Dataset'!G146="Electronics","ELEC",IF('Final Project Dataset'!G146="Furniture","FURN",IF('Final Project Dataset'!G146="Appliances","APPL","")))</f>
        <v>FURN</v>
      </c>
      <c r="K146" s="34" t="str">
        <f>IF('Final Project Dataset'!K146="North","N",IF('Final Project Dataset'!K146="South","S",IF('Final Project Dataset'!K146="East","E",IF('Final Project Dataset'!K146="West","W",IF('Final Project Dataset'!K146="Central","C","")))))</f>
        <v>C</v>
      </c>
      <c r="L146" s="34" t="str">
        <f>IF('Final Project Dataset'!L146="Premium","PREM",IF('Final Project Dataset'!L146="Standard","STND",IF('Final Project Dataset'!L146="Basic","BASC","")))</f>
        <v>BASC</v>
      </c>
      <c r="M146" s="34" t="str">
        <f>IF('Final Project Dataset'!J146="Credit Card","CC",IF('Final Project Dataset'!J146="Debit Card","DC",IF('Final Project Dataset'!J146="PayPal","PP",IF('Final Project Dataset'!J146="Cash","CSH",""))))</f>
        <v>PP</v>
      </c>
    </row>
    <row r="147" spans="1:13">
      <c r="A147" s="34" t="str">
        <f>'Final Project Dataset'!D147</f>
        <v>George Adams</v>
      </c>
      <c r="B147" s="34" t="str">
        <f t="shared" si="16"/>
        <v>George</v>
      </c>
      <c r="C147" s="34" t="str">
        <f t="shared" si="17"/>
        <v>Adams</v>
      </c>
      <c r="D147" s="34" t="str">
        <f t="shared" si="18"/>
        <v>G.A.</v>
      </c>
      <c r="E147" s="34" t="str">
        <f t="shared" si="19"/>
        <v>George A.</v>
      </c>
      <c r="F147" s="34" t="str">
        <f t="shared" si="20"/>
        <v>GEORGE ADAMS</v>
      </c>
      <c r="G147" s="34" t="str">
        <f t="shared" si="21"/>
        <v>george adams</v>
      </c>
      <c r="H147" s="34" t="str">
        <f t="shared" si="22"/>
        <v>George Adams</v>
      </c>
      <c r="I147" s="34">
        <f t="shared" si="23"/>
        <v>12</v>
      </c>
      <c r="J147" s="34" t="str">
        <f>IF('Final Project Dataset'!G147="Electronics","ELEC",IF('Final Project Dataset'!G147="Furniture","FURN",IF('Final Project Dataset'!G147="Appliances","APPL","")))</f>
        <v>APPL</v>
      </c>
      <c r="K147" s="34" t="str">
        <f>IF('Final Project Dataset'!K147="North","N",IF('Final Project Dataset'!K147="South","S",IF('Final Project Dataset'!K147="East","E",IF('Final Project Dataset'!K147="West","W",IF('Final Project Dataset'!K147="Central","C","")))))</f>
        <v>S</v>
      </c>
      <c r="L147" s="34" t="str">
        <f>IF('Final Project Dataset'!L147="Premium","PREM",IF('Final Project Dataset'!L147="Standard","STND",IF('Final Project Dataset'!L147="Basic","BASC","")))</f>
        <v>STND</v>
      </c>
      <c r="M147" s="34" t="str">
        <f>IF('Final Project Dataset'!J147="Credit Card","CC",IF('Final Project Dataset'!J147="Debit Card","DC",IF('Final Project Dataset'!J147="PayPal","PP",IF('Final Project Dataset'!J147="Cash","CSH",""))))</f>
        <v>DC</v>
      </c>
    </row>
    <row r="148" spans="1:13">
      <c r="A148" s="34" t="str">
        <f>'Final Project Dataset'!D148</f>
        <v>Sandra Phillips</v>
      </c>
      <c r="B148" s="34" t="str">
        <f t="shared" si="16"/>
        <v>Sandra</v>
      </c>
      <c r="C148" s="34" t="str">
        <f t="shared" si="17"/>
        <v>Phillips</v>
      </c>
      <c r="D148" s="34" t="str">
        <f t="shared" si="18"/>
        <v>S.P.</v>
      </c>
      <c r="E148" s="34" t="str">
        <f t="shared" si="19"/>
        <v>Sandra P.</v>
      </c>
      <c r="F148" s="34" t="str">
        <f t="shared" si="20"/>
        <v>SANDRA PHILLIPS</v>
      </c>
      <c r="G148" s="34" t="str">
        <f t="shared" si="21"/>
        <v>sandra phillips</v>
      </c>
      <c r="H148" s="34" t="str">
        <f t="shared" si="22"/>
        <v>Sandra Phillips</v>
      </c>
      <c r="I148" s="34">
        <f t="shared" si="23"/>
        <v>15</v>
      </c>
      <c r="J148" s="34" t="str">
        <f>IF('Final Project Dataset'!G148="Electronics","ELEC",IF('Final Project Dataset'!G148="Furniture","FURN",IF('Final Project Dataset'!G148="Appliances","APPL","")))</f>
        <v>FURN</v>
      </c>
      <c r="K148" s="34" t="str">
        <f>IF('Final Project Dataset'!K148="North","N",IF('Final Project Dataset'!K148="South","S",IF('Final Project Dataset'!K148="East","E",IF('Final Project Dataset'!K148="West","W",IF('Final Project Dataset'!K148="Central","C","")))))</f>
        <v>N</v>
      </c>
      <c r="L148" s="34" t="str">
        <f>IF('Final Project Dataset'!L148="Premium","PREM",IF('Final Project Dataset'!L148="Standard","STND",IF('Final Project Dataset'!L148="Basic","BASC","")))</f>
        <v>BASC</v>
      </c>
      <c r="M148" s="34" t="str">
        <f>IF('Final Project Dataset'!J148="Credit Card","CC",IF('Final Project Dataset'!J148="Debit Card","DC",IF('Final Project Dataset'!J148="PayPal","PP",IF('Final Project Dataset'!J148="Cash","CSH",""))))</f>
        <v>CSH</v>
      </c>
    </row>
    <row r="149" spans="1:13">
      <c r="A149" s="34" t="str">
        <f>'Final Project Dataset'!D149</f>
        <v>Mark Carter</v>
      </c>
      <c r="B149" s="34" t="str">
        <f t="shared" si="16"/>
        <v>Mark</v>
      </c>
      <c r="C149" s="34" t="str">
        <f t="shared" si="17"/>
        <v>Carter</v>
      </c>
      <c r="D149" s="34" t="str">
        <f t="shared" si="18"/>
        <v>M.C.</v>
      </c>
      <c r="E149" s="34" t="str">
        <f t="shared" si="19"/>
        <v>Mark C.</v>
      </c>
      <c r="F149" s="34" t="str">
        <f t="shared" si="20"/>
        <v>MARK CARTER</v>
      </c>
      <c r="G149" s="34" t="str">
        <f t="shared" si="21"/>
        <v>mark carter</v>
      </c>
      <c r="H149" s="34" t="str">
        <f t="shared" si="22"/>
        <v>Mark Carter</v>
      </c>
      <c r="I149" s="34">
        <f t="shared" si="23"/>
        <v>11</v>
      </c>
      <c r="J149" s="34" t="str">
        <f>IF('Final Project Dataset'!G149="Electronics","ELEC",IF('Final Project Dataset'!G149="Furniture","FURN",IF('Final Project Dataset'!G149="Appliances","APPL","")))</f>
        <v>ELEC</v>
      </c>
      <c r="K149" s="34" t="str">
        <f>IF('Final Project Dataset'!K149="North","N",IF('Final Project Dataset'!K149="South","S",IF('Final Project Dataset'!K149="East","E",IF('Final Project Dataset'!K149="West","W",IF('Final Project Dataset'!K149="Central","C","")))))</f>
        <v>W</v>
      </c>
      <c r="L149" s="34" t="str">
        <f>IF('Final Project Dataset'!L149="Premium","PREM",IF('Final Project Dataset'!L149="Standard","STND",IF('Final Project Dataset'!L149="Basic","BASC","")))</f>
        <v>STND</v>
      </c>
      <c r="M149" s="34" t="str">
        <f>IF('Final Project Dataset'!J149="Credit Card","CC",IF('Final Project Dataset'!J149="Debit Card","DC",IF('Final Project Dataset'!J149="PayPal","PP",IF('Final Project Dataset'!J149="Cash","CSH",""))))</f>
        <v>PP</v>
      </c>
    </row>
    <row r="150" spans="1:13">
      <c r="A150" s="34" t="str">
        <f>'Final Project Dataset'!D150</f>
        <v>Edward Mitchell</v>
      </c>
      <c r="B150" s="34" t="str">
        <f t="shared" si="16"/>
        <v>Edward</v>
      </c>
      <c r="C150" s="34" t="str">
        <f t="shared" si="17"/>
        <v>Mitchell</v>
      </c>
      <c r="D150" s="34" t="str">
        <f t="shared" si="18"/>
        <v>E.M.</v>
      </c>
      <c r="E150" s="34" t="str">
        <f t="shared" si="19"/>
        <v>Edward M.</v>
      </c>
      <c r="F150" s="34" t="str">
        <f t="shared" si="20"/>
        <v>EDWARD MITCHELL</v>
      </c>
      <c r="G150" s="34" t="str">
        <f t="shared" si="21"/>
        <v>edward mitchell</v>
      </c>
      <c r="H150" s="34" t="str">
        <f t="shared" si="22"/>
        <v>Edward Mitchell</v>
      </c>
      <c r="I150" s="34">
        <f t="shared" si="23"/>
        <v>15</v>
      </c>
      <c r="J150" s="34" t="str">
        <f>IF('Final Project Dataset'!G150="Electronics","ELEC",IF('Final Project Dataset'!G150="Furniture","FURN",IF('Final Project Dataset'!G150="Appliances","APPL","")))</f>
        <v>FURN</v>
      </c>
      <c r="K150" s="34" t="str">
        <f>IF('Final Project Dataset'!K150="North","N",IF('Final Project Dataset'!K150="South","S",IF('Final Project Dataset'!K150="East","E",IF('Final Project Dataset'!K150="West","W",IF('Final Project Dataset'!K150="Central","C","")))))</f>
        <v>C</v>
      </c>
      <c r="L150" s="34" t="str">
        <f>IF('Final Project Dataset'!L150="Premium","PREM",IF('Final Project Dataset'!L150="Standard","STND",IF('Final Project Dataset'!L150="Basic","BASC","")))</f>
        <v>PREM</v>
      </c>
      <c r="M150" s="34" t="str">
        <f>IF('Final Project Dataset'!J150="Credit Card","CC",IF('Final Project Dataset'!J150="Debit Card","DC",IF('Final Project Dataset'!J150="PayPal","PP",IF('Final Project Dataset'!J150="Cash","CSH",""))))</f>
        <v>DC</v>
      </c>
    </row>
    <row r="151" spans="1:13">
      <c r="A151" s="34" t="str">
        <f>'Final Project Dataset'!D151</f>
        <v>Frank Torres</v>
      </c>
      <c r="B151" s="34" t="str">
        <f t="shared" si="16"/>
        <v>Frank</v>
      </c>
      <c r="C151" s="34" t="str">
        <f t="shared" si="17"/>
        <v>Torres</v>
      </c>
      <c r="D151" s="34" t="str">
        <f t="shared" si="18"/>
        <v>F.T.</v>
      </c>
      <c r="E151" s="34" t="str">
        <f t="shared" si="19"/>
        <v>Frank T.</v>
      </c>
      <c r="F151" s="34" t="str">
        <f t="shared" si="20"/>
        <v>FRANK TORRES</v>
      </c>
      <c r="G151" s="34" t="str">
        <f t="shared" si="21"/>
        <v>frank torres</v>
      </c>
      <c r="H151" s="34" t="str">
        <f t="shared" si="22"/>
        <v>Frank Torres</v>
      </c>
      <c r="I151" s="34">
        <f t="shared" si="23"/>
        <v>12</v>
      </c>
      <c r="J151" s="34" t="str">
        <f>IF('Final Project Dataset'!G151="Electronics","ELEC",IF('Final Project Dataset'!G151="Furniture","FURN",IF('Final Project Dataset'!G151="Appliances","APPL","")))</f>
        <v>APPL</v>
      </c>
      <c r="K151" s="34" t="str">
        <f>IF('Final Project Dataset'!K151="North","N",IF('Final Project Dataset'!K151="South","S",IF('Final Project Dataset'!K151="East","E",IF('Final Project Dataset'!K151="West","W",IF('Final Project Dataset'!K151="Central","C","")))))</f>
        <v>W</v>
      </c>
      <c r="L151" s="34" t="str">
        <f>IF('Final Project Dataset'!L151="Premium","PREM",IF('Final Project Dataset'!L151="Standard","STND",IF('Final Project Dataset'!L151="Basic","BASC","")))</f>
        <v>STND</v>
      </c>
      <c r="M151" s="34" t="str">
        <f>IF('Final Project Dataset'!J151="Credit Card","CC",IF('Final Project Dataset'!J151="Debit Card","DC",IF('Final Project Dataset'!J151="PayPal","PP",IF('Final Project Dataset'!J151="Cash","CSH",""))))</f>
        <v>DC</v>
      </c>
    </row>
    <row r="152" spans="1:13">
      <c r="A152" s="34" t="str">
        <f>'Final Project Dataset'!D152</f>
        <v>Sarah Davis</v>
      </c>
      <c r="B152" s="34" t="str">
        <f t="shared" si="16"/>
        <v>Sarah</v>
      </c>
      <c r="C152" s="34" t="str">
        <f t="shared" si="17"/>
        <v>Davis</v>
      </c>
      <c r="D152" s="34" t="str">
        <f t="shared" si="18"/>
        <v>S.D.</v>
      </c>
      <c r="E152" s="34" t="str">
        <f t="shared" si="19"/>
        <v>Sarah D.</v>
      </c>
      <c r="F152" s="34" t="str">
        <f t="shared" si="20"/>
        <v>SARAH DAVIS</v>
      </c>
      <c r="G152" s="34" t="str">
        <f t="shared" si="21"/>
        <v>sarah davis</v>
      </c>
      <c r="H152" s="34" t="str">
        <f t="shared" si="22"/>
        <v>Sarah Davis</v>
      </c>
      <c r="I152" s="34">
        <f t="shared" si="23"/>
        <v>11</v>
      </c>
      <c r="J152" s="34" t="str">
        <f>IF('Final Project Dataset'!G152="Electronics","ELEC",IF('Final Project Dataset'!G152="Furniture","FURN",IF('Final Project Dataset'!G152="Appliances","APPL","")))</f>
        <v>ELEC</v>
      </c>
      <c r="K152" s="34" t="str">
        <f>IF('Final Project Dataset'!K152="North","N",IF('Final Project Dataset'!K152="South","S",IF('Final Project Dataset'!K152="East","E",IF('Final Project Dataset'!K152="West","W",IF('Final Project Dataset'!K152="Central","C","")))))</f>
        <v>W</v>
      </c>
      <c r="L152" s="34" t="str">
        <f>IF('Final Project Dataset'!L152="Premium","PREM",IF('Final Project Dataset'!L152="Standard","STND",IF('Final Project Dataset'!L152="Basic","BASC","")))</f>
        <v>STND</v>
      </c>
      <c r="M152" s="34" t="str">
        <f>IF('Final Project Dataset'!J152="Credit Card","CC",IF('Final Project Dataset'!J152="Debit Card","DC",IF('Final Project Dataset'!J152="PayPal","PP",IF('Final Project Dataset'!J152="Cash","CSH",""))))</f>
        <v>PP</v>
      </c>
    </row>
    <row r="153" spans="1:13">
      <c r="A153" s="34" t="str">
        <f>'Final Project Dataset'!D153</f>
        <v>Douglas Watson</v>
      </c>
      <c r="B153" s="34" t="str">
        <f t="shared" si="16"/>
        <v>Douglas</v>
      </c>
      <c r="C153" s="34" t="str">
        <f t="shared" si="17"/>
        <v>Watson</v>
      </c>
      <c r="D153" s="34" t="str">
        <f t="shared" si="18"/>
        <v>D.W.</v>
      </c>
      <c r="E153" s="34" t="str">
        <f t="shared" si="19"/>
        <v>Douglas W.</v>
      </c>
      <c r="F153" s="34" t="str">
        <f t="shared" si="20"/>
        <v>DOUGLAS WATSON</v>
      </c>
      <c r="G153" s="34" t="str">
        <f t="shared" si="21"/>
        <v>douglas watson</v>
      </c>
      <c r="H153" s="34" t="str">
        <f t="shared" si="22"/>
        <v>Douglas Watson</v>
      </c>
      <c r="I153" s="34">
        <f t="shared" si="23"/>
        <v>14</v>
      </c>
      <c r="J153" s="34" t="str">
        <f>IF('Final Project Dataset'!G153="Electronics","ELEC",IF('Final Project Dataset'!G153="Furniture","FURN",IF('Final Project Dataset'!G153="Appliances","APPL","")))</f>
        <v>ELEC</v>
      </c>
      <c r="K153" s="34" t="str">
        <f>IF('Final Project Dataset'!K153="North","N",IF('Final Project Dataset'!K153="South","S",IF('Final Project Dataset'!K153="East","E",IF('Final Project Dataset'!K153="West","W",IF('Final Project Dataset'!K153="Central","C","")))))</f>
        <v>N</v>
      </c>
      <c r="L153" s="34" t="str">
        <f>IF('Final Project Dataset'!L153="Premium","PREM",IF('Final Project Dataset'!L153="Standard","STND",IF('Final Project Dataset'!L153="Basic","BASC","")))</f>
        <v>BASC</v>
      </c>
      <c r="M153" s="34" t="str">
        <f>IF('Final Project Dataset'!J153="Credit Card","CC",IF('Final Project Dataset'!J153="Debit Card","DC",IF('Final Project Dataset'!J153="PayPal","PP",IF('Final Project Dataset'!J153="Cash","CSH",""))))</f>
        <v>CC</v>
      </c>
    </row>
    <row r="154" spans="1:13">
      <c r="A154" s="34" t="str">
        <f>'Final Project Dataset'!D154</f>
        <v>Linda Martin</v>
      </c>
      <c r="B154" s="34" t="str">
        <f t="shared" si="16"/>
        <v>Linda</v>
      </c>
      <c r="C154" s="34" t="str">
        <f t="shared" si="17"/>
        <v>Martin</v>
      </c>
      <c r="D154" s="34" t="str">
        <f t="shared" si="18"/>
        <v>L.M.</v>
      </c>
      <c r="E154" s="34" t="str">
        <f t="shared" si="19"/>
        <v>Linda M.</v>
      </c>
      <c r="F154" s="34" t="str">
        <f t="shared" si="20"/>
        <v>LINDA MARTIN</v>
      </c>
      <c r="G154" s="34" t="str">
        <f t="shared" si="21"/>
        <v>linda martin</v>
      </c>
      <c r="H154" s="34" t="str">
        <f t="shared" si="22"/>
        <v>Linda Martin</v>
      </c>
      <c r="I154" s="34">
        <f t="shared" si="23"/>
        <v>12</v>
      </c>
      <c r="J154" s="34" t="str">
        <f>IF('Final Project Dataset'!G154="Electronics","ELEC",IF('Final Project Dataset'!G154="Furniture","FURN",IF('Final Project Dataset'!G154="Appliances","APPL","")))</f>
        <v>FURN</v>
      </c>
      <c r="K154" s="34" t="str">
        <f>IF('Final Project Dataset'!K154="North","N",IF('Final Project Dataset'!K154="South","S",IF('Final Project Dataset'!K154="East","E",IF('Final Project Dataset'!K154="West","W",IF('Final Project Dataset'!K154="Central","C","")))))</f>
        <v>S</v>
      </c>
      <c r="L154" s="34" t="str">
        <f>IF('Final Project Dataset'!L154="Premium","PREM",IF('Final Project Dataset'!L154="Standard","STND",IF('Final Project Dataset'!L154="Basic","BASC","")))</f>
        <v>STND</v>
      </c>
      <c r="M154" s="34" t="str">
        <f>IF('Final Project Dataset'!J154="Credit Card","CC",IF('Final Project Dataset'!J154="Debit Card","DC",IF('Final Project Dataset'!J154="PayPal","PP",IF('Final Project Dataset'!J154="Cash","CSH",""))))</f>
        <v>CSH</v>
      </c>
    </row>
    <row r="155" spans="1:13">
      <c r="A155" s="34" t="str">
        <f>'Final Project Dataset'!D155</f>
        <v>Kevin Scott</v>
      </c>
      <c r="B155" s="34" t="str">
        <f t="shared" si="16"/>
        <v>Kevin</v>
      </c>
      <c r="C155" s="34" t="str">
        <f t="shared" si="17"/>
        <v>Scott</v>
      </c>
      <c r="D155" s="34" t="str">
        <f t="shared" si="18"/>
        <v>K.S.</v>
      </c>
      <c r="E155" s="34" t="str">
        <f t="shared" si="19"/>
        <v>Kevin S.</v>
      </c>
      <c r="F155" s="34" t="str">
        <f t="shared" si="20"/>
        <v>KEVIN SCOTT</v>
      </c>
      <c r="G155" s="34" t="str">
        <f t="shared" si="21"/>
        <v>kevin scott</v>
      </c>
      <c r="H155" s="34" t="str">
        <f t="shared" si="22"/>
        <v>Kevin Scott</v>
      </c>
      <c r="I155" s="34">
        <f t="shared" si="23"/>
        <v>11</v>
      </c>
      <c r="J155" s="34" t="str">
        <f>IF('Final Project Dataset'!G155="Electronics","ELEC",IF('Final Project Dataset'!G155="Furniture","FURN",IF('Final Project Dataset'!G155="Appliances","APPL","")))</f>
        <v>FURN</v>
      </c>
      <c r="K155" s="34" t="str">
        <f>IF('Final Project Dataset'!K155="North","N",IF('Final Project Dataset'!K155="South","S",IF('Final Project Dataset'!K155="East","E",IF('Final Project Dataset'!K155="West","W",IF('Final Project Dataset'!K155="Central","C","")))))</f>
        <v>S</v>
      </c>
      <c r="L155" s="34" t="str">
        <f>IF('Final Project Dataset'!L155="Premium","PREM",IF('Final Project Dataset'!L155="Standard","STND",IF('Final Project Dataset'!L155="Basic","BASC","")))</f>
        <v>PREM</v>
      </c>
      <c r="M155" s="34" t="str">
        <f>IF('Final Project Dataset'!J155="Credit Card","CC",IF('Final Project Dataset'!J155="Debit Card","DC",IF('Final Project Dataset'!J155="PayPal","PP",IF('Final Project Dataset'!J155="Cash","CSH",""))))</f>
        <v>CSH</v>
      </c>
    </row>
    <row r="156" spans="1:13">
      <c r="A156" s="34" t="str">
        <f>'Final Project Dataset'!D156</f>
        <v>Charles Allen</v>
      </c>
      <c r="B156" s="34" t="str">
        <f t="shared" si="16"/>
        <v>Charles</v>
      </c>
      <c r="C156" s="34" t="str">
        <f t="shared" si="17"/>
        <v>Allen</v>
      </c>
      <c r="D156" s="34" t="str">
        <f t="shared" si="18"/>
        <v>C.A.</v>
      </c>
      <c r="E156" s="34" t="str">
        <f t="shared" si="19"/>
        <v>Charles A.</v>
      </c>
      <c r="F156" s="34" t="str">
        <f t="shared" si="20"/>
        <v>CHARLES ALLEN</v>
      </c>
      <c r="G156" s="34" t="str">
        <f t="shared" si="21"/>
        <v>charles allen</v>
      </c>
      <c r="H156" s="34" t="str">
        <f t="shared" si="22"/>
        <v>Charles Allen</v>
      </c>
      <c r="I156" s="34">
        <f t="shared" si="23"/>
        <v>13</v>
      </c>
      <c r="J156" s="34" t="str">
        <f>IF('Final Project Dataset'!G156="Electronics","ELEC",IF('Final Project Dataset'!G156="Furniture","FURN",IF('Final Project Dataset'!G156="Appliances","APPL","")))</f>
        <v>ELEC</v>
      </c>
      <c r="K156" s="34" t="str">
        <f>IF('Final Project Dataset'!K156="North","N",IF('Final Project Dataset'!K156="South","S",IF('Final Project Dataset'!K156="East","E",IF('Final Project Dataset'!K156="West","W",IF('Final Project Dataset'!K156="Central","C","")))))</f>
        <v>C</v>
      </c>
      <c r="L156" s="34" t="str">
        <f>IF('Final Project Dataset'!L156="Premium","PREM",IF('Final Project Dataset'!L156="Standard","STND",IF('Final Project Dataset'!L156="Basic","BASC","")))</f>
        <v>PREM</v>
      </c>
      <c r="M156" s="34" t="str">
        <f>IF('Final Project Dataset'!J156="Credit Card","CC",IF('Final Project Dataset'!J156="Debit Card","DC",IF('Final Project Dataset'!J156="PayPal","PP",IF('Final Project Dataset'!J156="Cash","CSH",""))))</f>
        <v>CSH</v>
      </c>
    </row>
    <row r="157" spans="1:13">
      <c r="A157" s="34" t="str">
        <f>'Final Project Dataset'!D157</f>
        <v>Joseph Jackson</v>
      </c>
      <c r="B157" s="34" t="str">
        <f t="shared" si="16"/>
        <v>Joseph</v>
      </c>
      <c r="C157" s="34" t="str">
        <f t="shared" si="17"/>
        <v>Jackson</v>
      </c>
      <c r="D157" s="34" t="str">
        <f t="shared" si="18"/>
        <v>J.J.</v>
      </c>
      <c r="E157" s="34" t="str">
        <f t="shared" si="19"/>
        <v>Joseph J.</v>
      </c>
      <c r="F157" s="34" t="str">
        <f t="shared" si="20"/>
        <v>JOSEPH JACKSON</v>
      </c>
      <c r="G157" s="34" t="str">
        <f t="shared" si="21"/>
        <v>joseph jackson</v>
      </c>
      <c r="H157" s="34" t="str">
        <f t="shared" si="22"/>
        <v>Joseph Jackson</v>
      </c>
      <c r="I157" s="34">
        <f t="shared" si="23"/>
        <v>14</v>
      </c>
      <c r="J157" s="34" t="str">
        <f>IF('Final Project Dataset'!G157="Electronics","ELEC",IF('Final Project Dataset'!G157="Furniture","FURN",IF('Final Project Dataset'!G157="Appliances","APPL","")))</f>
        <v>ELEC</v>
      </c>
      <c r="K157" s="34" t="str">
        <f>IF('Final Project Dataset'!K157="North","N",IF('Final Project Dataset'!K157="South","S",IF('Final Project Dataset'!K157="East","E",IF('Final Project Dataset'!K157="West","W",IF('Final Project Dataset'!K157="Central","C","")))))</f>
        <v>S</v>
      </c>
      <c r="L157" s="34" t="str">
        <f>IF('Final Project Dataset'!L157="Premium","PREM",IF('Final Project Dataset'!L157="Standard","STND",IF('Final Project Dataset'!L157="Basic","BASC","")))</f>
        <v>PREM</v>
      </c>
      <c r="M157" s="34" t="str">
        <f>IF('Final Project Dataset'!J157="Credit Card","CC",IF('Final Project Dataset'!J157="Debit Card","DC",IF('Final Project Dataset'!J157="PayPal","PP",IF('Final Project Dataset'!J157="Cash","CSH",""))))</f>
        <v>CSH</v>
      </c>
    </row>
    <row r="158" spans="1:13">
      <c r="A158" s="34" t="str">
        <f>'Final Project Dataset'!D158</f>
        <v>Mark Carter</v>
      </c>
      <c r="B158" s="34" t="str">
        <f t="shared" si="16"/>
        <v>Mark</v>
      </c>
      <c r="C158" s="34" t="str">
        <f t="shared" si="17"/>
        <v>Carter</v>
      </c>
      <c r="D158" s="34" t="str">
        <f t="shared" si="18"/>
        <v>M.C.</v>
      </c>
      <c r="E158" s="34" t="str">
        <f t="shared" si="19"/>
        <v>Mark C.</v>
      </c>
      <c r="F158" s="34" t="str">
        <f t="shared" si="20"/>
        <v>MARK CARTER</v>
      </c>
      <c r="G158" s="34" t="str">
        <f t="shared" si="21"/>
        <v>mark carter</v>
      </c>
      <c r="H158" s="34" t="str">
        <f t="shared" si="22"/>
        <v>Mark Carter</v>
      </c>
      <c r="I158" s="34">
        <f t="shared" si="23"/>
        <v>11</v>
      </c>
      <c r="J158" s="34" t="str">
        <f>IF('Final Project Dataset'!G158="Electronics","ELEC",IF('Final Project Dataset'!G158="Furniture","FURN",IF('Final Project Dataset'!G158="Appliances","APPL","")))</f>
        <v>ELEC</v>
      </c>
      <c r="K158" s="34" t="str">
        <f>IF('Final Project Dataset'!K158="North","N",IF('Final Project Dataset'!K158="South","S",IF('Final Project Dataset'!K158="East","E",IF('Final Project Dataset'!K158="West","W",IF('Final Project Dataset'!K158="Central","C","")))))</f>
        <v>W</v>
      </c>
      <c r="L158" s="34" t="str">
        <f>IF('Final Project Dataset'!L158="Premium","PREM",IF('Final Project Dataset'!L158="Standard","STND",IF('Final Project Dataset'!L158="Basic","BASC","")))</f>
        <v>STND</v>
      </c>
      <c r="M158" s="34" t="str">
        <f>IF('Final Project Dataset'!J158="Credit Card","CC",IF('Final Project Dataset'!J158="Debit Card","DC",IF('Final Project Dataset'!J158="PayPal","PP",IF('Final Project Dataset'!J158="Cash","CSH",""))))</f>
        <v>DC</v>
      </c>
    </row>
    <row r="159" spans="1:13">
      <c r="A159" s="34" t="str">
        <f>'Final Project Dataset'!D159</f>
        <v>William White</v>
      </c>
      <c r="B159" s="34" t="str">
        <f t="shared" si="16"/>
        <v>William</v>
      </c>
      <c r="C159" s="34" t="str">
        <f t="shared" si="17"/>
        <v>White</v>
      </c>
      <c r="D159" s="34" t="str">
        <f t="shared" si="18"/>
        <v>W.W.</v>
      </c>
      <c r="E159" s="34" t="str">
        <f t="shared" si="19"/>
        <v>William W.</v>
      </c>
      <c r="F159" s="34" t="str">
        <f t="shared" si="20"/>
        <v>WILLIAM WHITE</v>
      </c>
      <c r="G159" s="34" t="str">
        <f t="shared" si="21"/>
        <v>william white</v>
      </c>
      <c r="H159" s="34" t="str">
        <f t="shared" si="22"/>
        <v>William White</v>
      </c>
      <c r="I159" s="34">
        <f t="shared" si="23"/>
        <v>13</v>
      </c>
      <c r="J159" s="34" t="str">
        <f>IF('Final Project Dataset'!G159="Electronics","ELEC",IF('Final Project Dataset'!G159="Furniture","FURN",IF('Final Project Dataset'!G159="Appliances","APPL","")))</f>
        <v>ELEC</v>
      </c>
      <c r="K159" s="34" t="str">
        <f>IF('Final Project Dataset'!K159="North","N",IF('Final Project Dataset'!K159="South","S",IF('Final Project Dataset'!K159="East","E",IF('Final Project Dataset'!K159="West","W",IF('Final Project Dataset'!K159="Central","C","")))))</f>
        <v>E</v>
      </c>
      <c r="L159" s="34" t="str">
        <f>IF('Final Project Dataset'!L159="Premium","PREM",IF('Final Project Dataset'!L159="Standard","STND",IF('Final Project Dataset'!L159="Basic","BASC","")))</f>
        <v>PREM</v>
      </c>
      <c r="M159" s="34" t="str">
        <f>IF('Final Project Dataset'!J159="Credit Card","CC",IF('Final Project Dataset'!J159="Debit Card","DC",IF('Final Project Dataset'!J159="PayPal","PP",IF('Final Project Dataset'!J159="Cash","CSH",""))))</f>
        <v>PP</v>
      </c>
    </row>
    <row r="160" spans="1:13">
      <c r="A160" s="34" t="str">
        <f>'Final Project Dataset'!D160</f>
        <v>Dorothy Nelson</v>
      </c>
      <c r="B160" s="34" t="str">
        <f t="shared" si="16"/>
        <v>Dorothy</v>
      </c>
      <c r="C160" s="34" t="str">
        <f t="shared" si="17"/>
        <v>Nelson</v>
      </c>
      <c r="D160" s="34" t="str">
        <f t="shared" si="18"/>
        <v>D.N.</v>
      </c>
      <c r="E160" s="34" t="str">
        <f t="shared" si="19"/>
        <v>Dorothy N.</v>
      </c>
      <c r="F160" s="34" t="str">
        <f t="shared" si="20"/>
        <v>DOROTHY NELSON</v>
      </c>
      <c r="G160" s="34" t="str">
        <f t="shared" si="21"/>
        <v>dorothy nelson</v>
      </c>
      <c r="H160" s="34" t="str">
        <f t="shared" si="22"/>
        <v>Dorothy Nelson</v>
      </c>
      <c r="I160" s="34">
        <f t="shared" si="23"/>
        <v>14</v>
      </c>
      <c r="J160" s="34" t="str">
        <f>IF('Final Project Dataset'!G160="Electronics","ELEC",IF('Final Project Dataset'!G160="Furniture","FURN",IF('Final Project Dataset'!G160="Appliances","APPL","")))</f>
        <v>ELEC</v>
      </c>
      <c r="K160" s="34" t="str">
        <f>IF('Final Project Dataset'!K160="North","N",IF('Final Project Dataset'!K160="South","S",IF('Final Project Dataset'!K160="East","E",IF('Final Project Dataset'!K160="West","W",IF('Final Project Dataset'!K160="Central","C","")))))</f>
        <v>N</v>
      </c>
      <c r="L160" s="34" t="str">
        <f>IF('Final Project Dataset'!L160="Premium","PREM",IF('Final Project Dataset'!L160="Standard","STND",IF('Final Project Dataset'!L160="Basic","BASC","")))</f>
        <v>PREM</v>
      </c>
      <c r="M160" s="34" t="str">
        <f>IF('Final Project Dataset'!J160="Credit Card","CC",IF('Final Project Dataset'!J160="Debit Card","DC",IF('Final Project Dataset'!J160="PayPal","PP",IF('Final Project Dataset'!J160="Cash","CSH",""))))</f>
        <v>CC</v>
      </c>
    </row>
    <row r="161" spans="1:13">
      <c r="A161" s="34" t="str">
        <f>'Final Project Dataset'!D161</f>
        <v>Nancy Collins</v>
      </c>
      <c r="B161" s="34" t="str">
        <f t="shared" si="16"/>
        <v>Nancy</v>
      </c>
      <c r="C161" s="34" t="str">
        <f t="shared" si="17"/>
        <v>Collins</v>
      </c>
      <c r="D161" s="34" t="str">
        <f t="shared" si="18"/>
        <v>N.C.</v>
      </c>
      <c r="E161" s="34" t="str">
        <f t="shared" si="19"/>
        <v>Nancy C.</v>
      </c>
      <c r="F161" s="34" t="str">
        <f t="shared" si="20"/>
        <v>NANCY COLLINS</v>
      </c>
      <c r="G161" s="34" t="str">
        <f t="shared" si="21"/>
        <v>nancy collins</v>
      </c>
      <c r="H161" s="34" t="str">
        <f t="shared" si="22"/>
        <v>Nancy Collins</v>
      </c>
      <c r="I161" s="34">
        <f t="shared" si="23"/>
        <v>13</v>
      </c>
      <c r="J161" s="34" t="str">
        <f>IF('Final Project Dataset'!G161="Electronics","ELEC",IF('Final Project Dataset'!G161="Furniture","FURN",IF('Final Project Dataset'!G161="Appliances","APPL","")))</f>
        <v>ELEC</v>
      </c>
      <c r="K161" s="34" t="str">
        <f>IF('Final Project Dataset'!K161="North","N",IF('Final Project Dataset'!K161="South","S",IF('Final Project Dataset'!K161="East","E",IF('Final Project Dataset'!K161="West","W",IF('Final Project Dataset'!K161="Central","C","")))))</f>
        <v>C</v>
      </c>
      <c r="L161" s="34" t="str">
        <f>IF('Final Project Dataset'!L161="Premium","PREM",IF('Final Project Dataset'!L161="Standard","STND",IF('Final Project Dataset'!L161="Basic","BASC","")))</f>
        <v>PREM</v>
      </c>
      <c r="M161" s="34" t="str">
        <f>IF('Final Project Dataset'!J161="Credit Card","CC",IF('Final Project Dataset'!J161="Debit Card","DC",IF('Final Project Dataset'!J161="PayPal","PP",IF('Final Project Dataset'!J161="Cash","CSH",""))))</f>
        <v>CC</v>
      </c>
    </row>
    <row r="162" spans="1:13">
      <c r="A162" s="34" t="str">
        <f>'Final Project Dataset'!D162</f>
        <v>James Johnson</v>
      </c>
      <c r="B162" s="34" t="str">
        <f t="shared" si="16"/>
        <v>James</v>
      </c>
      <c r="C162" s="34" t="str">
        <f t="shared" si="17"/>
        <v>Johnson</v>
      </c>
      <c r="D162" s="34" t="str">
        <f t="shared" si="18"/>
        <v>J.J.</v>
      </c>
      <c r="E162" s="34" t="str">
        <f t="shared" si="19"/>
        <v>James J.</v>
      </c>
      <c r="F162" s="34" t="str">
        <f t="shared" si="20"/>
        <v>JAMES JOHNSON</v>
      </c>
      <c r="G162" s="34" t="str">
        <f t="shared" si="21"/>
        <v>james johnson</v>
      </c>
      <c r="H162" s="34" t="str">
        <f t="shared" si="22"/>
        <v>James Johnson</v>
      </c>
      <c r="I162" s="34">
        <f t="shared" si="23"/>
        <v>13</v>
      </c>
      <c r="J162" s="34" t="str">
        <f>IF('Final Project Dataset'!G162="Electronics","ELEC",IF('Final Project Dataset'!G162="Furniture","FURN",IF('Final Project Dataset'!G162="Appliances","APPL","")))</f>
        <v>APPL</v>
      </c>
      <c r="K162" s="34" t="str">
        <f>IF('Final Project Dataset'!K162="North","N",IF('Final Project Dataset'!K162="South","S",IF('Final Project Dataset'!K162="East","E",IF('Final Project Dataset'!K162="West","W",IF('Final Project Dataset'!K162="Central","C","")))))</f>
        <v>C</v>
      </c>
      <c r="L162" s="34" t="str">
        <f>IF('Final Project Dataset'!L162="Premium","PREM",IF('Final Project Dataset'!L162="Standard","STND",IF('Final Project Dataset'!L162="Basic","BASC","")))</f>
        <v>PREM</v>
      </c>
      <c r="M162" s="34" t="str">
        <f>IF('Final Project Dataset'!J162="Credit Card","CC",IF('Final Project Dataset'!J162="Debit Card","DC",IF('Final Project Dataset'!J162="PayPal","PP",IF('Final Project Dataset'!J162="Cash","CSH",""))))</f>
        <v>CSH</v>
      </c>
    </row>
    <row r="163" spans="1:13">
      <c r="A163" s="34" t="str">
        <f>'Final Project Dataset'!D163</f>
        <v>Jennifer Taylor</v>
      </c>
      <c r="B163" s="34" t="str">
        <f t="shared" si="16"/>
        <v>Jennifer</v>
      </c>
      <c r="C163" s="34" t="str">
        <f t="shared" si="17"/>
        <v>Taylor</v>
      </c>
      <c r="D163" s="34" t="str">
        <f t="shared" si="18"/>
        <v>J.T.</v>
      </c>
      <c r="E163" s="34" t="str">
        <f t="shared" si="19"/>
        <v>Jennifer T.</v>
      </c>
      <c r="F163" s="34" t="str">
        <f t="shared" si="20"/>
        <v>JENNIFER TAYLOR</v>
      </c>
      <c r="G163" s="34" t="str">
        <f t="shared" si="21"/>
        <v>jennifer taylor</v>
      </c>
      <c r="H163" s="34" t="str">
        <f t="shared" si="22"/>
        <v>Jennifer Taylor</v>
      </c>
      <c r="I163" s="34">
        <f t="shared" si="23"/>
        <v>15</v>
      </c>
      <c r="J163" s="34" t="str">
        <f>IF('Final Project Dataset'!G163="Electronics","ELEC",IF('Final Project Dataset'!G163="Furniture","FURN",IF('Final Project Dataset'!G163="Appliances","APPL","")))</f>
        <v>APPL</v>
      </c>
      <c r="K163" s="34" t="str">
        <f>IF('Final Project Dataset'!K163="North","N",IF('Final Project Dataset'!K163="South","S",IF('Final Project Dataset'!K163="East","E",IF('Final Project Dataset'!K163="West","W",IF('Final Project Dataset'!K163="Central","C","")))))</f>
        <v>E</v>
      </c>
      <c r="L163" s="34" t="str">
        <f>IF('Final Project Dataset'!L163="Premium","PREM",IF('Final Project Dataset'!L163="Standard","STND",IF('Final Project Dataset'!L163="Basic","BASC","")))</f>
        <v>STND</v>
      </c>
      <c r="M163" s="34" t="str">
        <f>IF('Final Project Dataset'!J163="Credit Card","CC",IF('Final Project Dataset'!J163="Debit Card","DC",IF('Final Project Dataset'!J163="PayPal","PP",IF('Final Project Dataset'!J163="Cash","CSH",""))))</f>
        <v>DC</v>
      </c>
    </row>
    <row r="164" spans="1:13">
      <c r="A164" s="34" t="str">
        <f>'Final Project Dataset'!D164</f>
        <v>Helen Roberts</v>
      </c>
      <c r="B164" s="34" t="str">
        <f t="shared" si="16"/>
        <v>Helen</v>
      </c>
      <c r="C164" s="34" t="str">
        <f t="shared" si="17"/>
        <v>Roberts</v>
      </c>
      <c r="D164" s="34" t="str">
        <f t="shared" si="18"/>
        <v>H.R.</v>
      </c>
      <c r="E164" s="34" t="str">
        <f t="shared" si="19"/>
        <v>Helen R.</v>
      </c>
      <c r="F164" s="34" t="str">
        <f t="shared" si="20"/>
        <v>HELEN ROBERTS</v>
      </c>
      <c r="G164" s="34" t="str">
        <f t="shared" si="21"/>
        <v>helen roberts</v>
      </c>
      <c r="H164" s="34" t="str">
        <f t="shared" si="22"/>
        <v>Helen Roberts</v>
      </c>
      <c r="I164" s="34">
        <f t="shared" si="23"/>
        <v>13</v>
      </c>
      <c r="J164" s="34" t="str">
        <f>IF('Final Project Dataset'!G164="Electronics","ELEC",IF('Final Project Dataset'!G164="Furniture","FURN",IF('Final Project Dataset'!G164="Appliances","APPL","")))</f>
        <v>APPL</v>
      </c>
      <c r="K164" s="34" t="str">
        <f>IF('Final Project Dataset'!K164="North","N",IF('Final Project Dataset'!K164="South","S",IF('Final Project Dataset'!K164="East","E",IF('Final Project Dataset'!K164="West","W",IF('Final Project Dataset'!K164="Central","C","")))))</f>
        <v>E</v>
      </c>
      <c r="L164" s="34" t="str">
        <f>IF('Final Project Dataset'!L164="Premium","PREM",IF('Final Project Dataset'!L164="Standard","STND",IF('Final Project Dataset'!L164="Basic","BASC","")))</f>
        <v>STND</v>
      </c>
      <c r="M164" s="34" t="str">
        <f>IF('Final Project Dataset'!J164="Credit Card","CC",IF('Final Project Dataset'!J164="Debit Card","DC",IF('Final Project Dataset'!J164="PayPal","PP",IF('Final Project Dataset'!J164="Cash","CSH",""))))</f>
        <v>DC</v>
      </c>
    </row>
    <row r="165" spans="1:13">
      <c r="A165" s="34" t="str">
        <f>'Final Project Dataset'!D165</f>
        <v>Peter Richardson</v>
      </c>
      <c r="B165" s="34" t="str">
        <f t="shared" si="16"/>
        <v>Peter</v>
      </c>
      <c r="C165" s="34" t="str">
        <f t="shared" si="17"/>
        <v>Richardson</v>
      </c>
      <c r="D165" s="34" t="str">
        <f t="shared" si="18"/>
        <v>P.R.</v>
      </c>
      <c r="E165" s="34" t="str">
        <f t="shared" si="19"/>
        <v>Peter R.</v>
      </c>
      <c r="F165" s="34" t="str">
        <f t="shared" si="20"/>
        <v>PETER RICHARDSON</v>
      </c>
      <c r="G165" s="34" t="str">
        <f t="shared" si="21"/>
        <v>peter richardson</v>
      </c>
      <c r="H165" s="34" t="str">
        <f t="shared" si="22"/>
        <v>Peter Richardson</v>
      </c>
      <c r="I165" s="34">
        <f t="shared" si="23"/>
        <v>16</v>
      </c>
      <c r="J165" s="34" t="str">
        <f>IF('Final Project Dataset'!G165="Electronics","ELEC",IF('Final Project Dataset'!G165="Furniture","FURN",IF('Final Project Dataset'!G165="Appliances","APPL","")))</f>
        <v>ELEC</v>
      </c>
      <c r="K165" s="34" t="str">
        <f>IF('Final Project Dataset'!K165="North","N",IF('Final Project Dataset'!K165="South","S",IF('Final Project Dataset'!K165="East","E",IF('Final Project Dataset'!K165="West","W",IF('Final Project Dataset'!K165="Central","C","")))))</f>
        <v>N</v>
      </c>
      <c r="L165" s="34" t="str">
        <f>IF('Final Project Dataset'!L165="Premium","PREM",IF('Final Project Dataset'!L165="Standard","STND",IF('Final Project Dataset'!L165="Basic","BASC","")))</f>
        <v>BASC</v>
      </c>
      <c r="M165" s="34" t="str">
        <f>IF('Final Project Dataset'!J165="Credit Card","CC",IF('Final Project Dataset'!J165="Debit Card","DC",IF('Final Project Dataset'!J165="PayPal","PP",IF('Final Project Dataset'!J165="Cash","CSH",""))))</f>
        <v>CSH</v>
      </c>
    </row>
    <row r="166" spans="1:13">
      <c r="A166" s="34" t="str">
        <f>'Final Project Dataset'!D166</f>
        <v>David Martinez</v>
      </c>
      <c r="B166" s="34" t="str">
        <f t="shared" si="16"/>
        <v>David</v>
      </c>
      <c r="C166" s="34" t="str">
        <f t="shared" si="17"/>
        <v>Martinez</v>
      </c>
      <c r="D166" s="34" t="str">
        <f t="shared" si="18"/>
        <v>D.M.</v>
      </c>
      <c r="E166" s="34" t="str">
        <f t="shared" si="19"/>
        <v>David M.</v>
      </c>
      <c r="F166" s="34" t="str">
        <f t="shared" si="20"/>
        <v>DAVID MARTINEZ</v>
      </c>
      <c r="G166" s="34" t="str">
        <f t="shared" si="21"/>
        <v>david martinez</v>
      </c>
      <c r="H166" s="34" t="str">
        <f t="shared" si="22"/>
        <v>David Martinez</v>
      </c>
      <c r="I166" s="34">
        <f t="shared" si="23"/>
        <v>14</v>
      </c>
      <c r="J166" s="34" t="str">
        <f>IF('Final Project Dataset'!G166="Electronics","ELEC",IF('Final Project Dataset'!G166="Furniture","FURN",IF('Final Project Dataset'!G166="Appliances","APPL","")))</f>
        <v>FURN</v>
      </c>
      <c r="K166" s="34" t="str">
        <f>IF('Final Project Dataset'!K166="North","N",IF('Final Project Dataset'!K166="South","S",IF('Final Project Dataset'!K166="East","E",IF('Final Project Dataset'!K166="West","W",IF('Final Project Dataset'!K166="Central","C","")))))</f>
        <v>E</v>
      </c>
      <c r="L166" s="34" t="str">
        <f>IF('Final Project Dataset'!L166="Premium","PREM",IF('Final Project Dataset'!L166="Standard","STND",IF('Final Project Dataset'!L166="Basic","BASC","")))</f>
        <v>STND</v>
      </c>
      <c r="M166" s="34" t="str">
        <f>IF('Final Project Dataset'!J166="Credit Card","CC",IF('Final Project Dataset'!J166="Debit Card","DC",IF('Final Project Dataset'!J166="PayPal","PP",IF('Final Project Dataset'!J166="Cash","CSH",""))))</f>
        <v>DC</v>
      </c>
    </row>
    <row r="167" spans="1:13">
      <c r="A167" s="34" t="str">
        <f>'Final Project Dataset'!D167</f>
        <v>Steven Turner</v>
      </c>
      <c r="B167" s="34" t="str">
        <f t="shared" si="16"/>
        <v>Steven</v>
      </c>
      <c r="C167" s="34" t="str">
        <f t="shared" si="17"/>
        <v>Turner</v>
      </c>
      <c r="D167" s="34" t="str">
        <f t="shared" si="18"/>
        <v>S.T.</v>
      </c>
      <c r="E167" s="34" t="str">
        <f t="shared" si="19"/>
        <v>Steven T.</v>
      </c>
      <c r="F167" s="34" t="str">
        <f t="shared" si="20"/>
        <v>STEVEN TURNER</v>
      </c>
      <c r="G167" s="34" t="str">
        <f t="shared" si="21"/>
        <v>steven turner</v>
      </c>
      <c r="H167" s="34" t="str">
        <f t="shared" si="22"/>
        <v>Steven Turner</v>
      </c>
      <c r="I167" s="34">
        <f t="shared" si="23"/>
        <v>13</v>
      </c>
      <c r="J167" s="34" t="str">
        <f>IF('Final Project Dataset'!G167="Electronics","ELEC",IF('Final Project Dataset'!G167="Furniture","FURN",IF('Final Project Dataset'!G167="Appliances","APPL","")))</f>
        <v>FURN</v>
      </c>
      <c r="K167" s="34" t="str">
        <f>IF('Final Project Dataset'!K167="North","N",IF('Final Project Dataset'!K167="South","S",IF('Final Project Dataset'!K167="East","E",IF('Final Project Dataset'!K167="West","W",IF('Final Project Dataset'!K167="Central","C","")))))</f>
        <v>E</v>
      </c>
      <c r="L167" s="34" t="str">
        <f>IF('Final Project Dataset'!L167="Premium","PREM",IF('Final Project Dataset'!L167="Standard","STND",IF('Final Project Dataset'!L167="Basic","BASC","")))</f>
        <v>PREM</v>
      </c>
      <c r="M167" s="34" t="str">
        <f>IF('Final Project Dataset'!J167="Credit Card","CC",IF('Final Project Dataset'!J167="Debit Card","DC",IF('Final Project Dataset'!J167="PayPal","PP",IF('Final Project Dataset'!J167="Cash","CSH",""))))</f>
        <v>CSH</v>
      </c>
    </row>
    <row r="168" spans="1:13">
      <c r="A168" s="34" t="str">
        <f>'Final Project Dataset'!D168</f>
        <v>Emma Wilson</v>
      </c>
      <c r="B168" s="34" t="str">
        <f t="shared" si="16"/>
        <v>Emma</v>
      </c>
      <c r="C168" s="34" t="str">
        <f t="shared" si="17"/>
        <v>Wilson</v>
      </c>
      <c r="D168" s="34" t="str">
        <f t="shared" si="18"/>
        <v>E.W.</v>
      </c>
      <c r="E168" s="34" t="str">
        <f t="shared" si="19"/>
        <v>Emma W.</v>
      </c>
      <c r="F168" s="34" t="str">
        <f t="shared" si="20"/>
        <v>EMMA WILSON</v>
      </c>
      <c r="G168" s="34" t="str">
        <f t="shared" si="21"/>
        <v>emma wilson</v>
      </c>
      <c r="H168" s="34" t="str">
        <f t="shared" si="22"/>
        <v>Emma Wilson</v>
      </c>
      <c r="I168" s="34">
        <f t="shared" si="23"/>
        <v>11</v>
      </c>
      <c r="J168" s="34" t="str">
        <f>IF('Final Project Dataset'!G168="Electronics","ELEC",IF('Final Project Dataset'!G168="Furniture","FURN",IF('Final Project Dataset'!G168="Appliances","APPL","")))</f>
        <v>APPL</v>
      </c>
      <c r="K168" s="34" t="str">
        <f>IF('Final Project Dataset'!K168="North","N",IF('Final Project Dataset'!K168="South","S",IF('Final Project Dataset'!K168="East","E",IF('Final Project Dataset'!K168="West","W",IF('Final Project Dataset'!K168="Central","C","")))))</f>
        <v>W</v>
      </c>
      <c r="L168" s="34" t="str">
        <f>IF('Final Project Dataset'!L168="Premium","PREM",IF('Final Project Dataset'!L168="Standard","STND",IF('Final Project Dataset'!L168="Basic","BASC","")))</f>
        <v>BASC</v>
      </c>
      <c r="M168" s="34" t="str">
        <f>IF('Final Project Dataset'!J168="Credit Card","CC",IF('Final Project Dataset'!J168="Debit Card","DC",IF('Final Project Dataset'!J168="PayPal","PP",IF('Final Project Dataset'!J168="Cash","CSH",""))))</f>
        <v>CSH</v>
      </c>
    </row>
    <row r="169" spans="1:13">
      <c r="A169" s="34" t="str">
        <f>'Final Project Dataset'!D169</f>
        <v>David Martinez</v>
      </c>
      <c r="B169" s="34" t="str">
        <f t="shared" si="16"/>
        <v>David</v>
      </c>
      <c r="C169" s="34" t="str">
        <f t="shared" si="17"/>
        <v>Martinez</v>
      </c>
      <c r="D169" s="34" t="str">
        <f t="shared" si="18"/>
        <v>D.M.</v>
      </c>
      <c r="E169" s="34" t="str">
        <f t="shared" si="19"/>
        <v>David M.</v>
      </c>
      <c r="F169" s="34" t="str">
        <f t="shared" si="20"/>
        <v>DAVID MARTINEZ</v>
      </c>
      <c r="G169" s="34" t="str">
        <f t="shared" si="21"/>
        <v>david martinez</v>
      </c>
      <c r="H169" s="34" t="str">
        <f t="shared" si="22"/>
        <v>David Martinez</v>
      </c>
      <c r="I169" s="34">
        <f t="shared" si="23"/>
        <v>14</v>
      </c>
      <c r="J169" s="34" t="str">
        <f>IF('Final Project Dataset'!G169="Electronics","ELEC",IF('Final Project Dataset'!G169="Furniture","FURN",IF('Final Project Dataset'!G169="Appliances","APPL","")))</f>
        <v>ELEC</v>
      </c>
      <c r="K169" s="34" t="str">
        <f>IF('Final Project Dataset'!K169="North","N",IF('Final Project Dataset'!K169="South","S",IF('Final Project Dataset'!K169="East","E",IF('Final Project Dataset'!K169="West","W",IF('Final Project Dataset'!K169="Central","C","")))))</f>
        <v>C</v>
      </c>
      <c r="L169" s="34" t="str">
        <f>IF('Final Project Dataset'!L169="Premium","PREM",IF('Final Project Dataset'!L169="Standard","STND",IF('Final Project Dataset'!L169="Basic","BASC","")))</f>
        <v>STND</v>
      </c>
      <c r="M169" s="34" t="str">
        <f>IF('Final Project Dataset'!J169="Credit Card","CC",IF('Final Project Dataset'!J169="Debit Card","DC",IF('Final Project Dataset'!J169="PayPal","PP",IF('Final Project Dataset'!J169="Cash","CSH",""))))</f>
        <v>DC</v>
      </c>
    </row>
    <row r="170" spans="1:13">
      <c r="A170" s="34" t="str">
        <f>'Final Project Dataset'!D170</f>
        <v>Daniel King</v>
      </c>
      <c r="B170" s="34" t="str">
        <f t="shared" si="16"/>
        <v>Daniel</v>
      </c>
      <c r="C170" s="34" t="str">
        <f t="shared" si="17"/>
        <v>King</v>
      </c>
      <c r="D170" s="34" t="str">
        <f t="shared" si="18"/>
        <v>D.K.</v>
      </c>
      <c r="E170" s="34" t="str">
        <f t="shared" si="19"/>
        <v>Daniel K.</v>
      </c>
      <c r="F170" s="34" t="str">
        <f t="shared" si="20"/>
        <v>DANIEL KING</v>
      </c>
      <c r="G170" s="34" t="str">
        <f t="shared" si="21"/>
        <v>daniel king</v>
      </c>
      <c r="H170" s="34" t="str">
        <f t="shared" si="22"/>
        <v>Daniel King</v>
      </c>
      <c r="I170" s="34">
        <f t="shared" si="23"/>
        <v>11</v>
      </c>
      <c r="J170" s="34" t="str">
        <f>IF('Final Project Dataset'!G170="Electronics","ELEC",IF('Final Project Dataset'!G170="Furniture","FURN",IF('Final Project Dataset'!G170="Appliances","APPL","")))</f>
        <v>ELEC</v>
      </c>
      <c r="K170" s="34" t="str">
        <f>IF('Final Project Dataset'!K170="North","N",IF('Final Project Dataset'!K170="South","S",IF('Final Project Dataset'!K170="East","E",IF('Final Project Dataset'!K170="West","W",IF('Final Project Dataset'!K170="Central","C","")))))</f>
        <v>E</v>
      </c>
      <c r="L170" s="34" t="str">
        <f>IF('Final Project Dataset'!L170="Premium","PREM",IF('Final Project Dataset'!L170="Standard","STND",IF('Final Project Dataset'!L170="Basic","BASC","")))</f>
        <v>STND</v>
      </c>
      <c r="M170" s="34" t="str">
        <f>IF('Final Project Dataset'!J170="Credit Card","CC",IF('Final Project Dataset'!J170="Debit Card","DC",IF('Final Project Dataset'!J170="PayPal","PP",IF('Final Project Dataset'!J170="Cash","CSH",""))))</f>
        <v>DC</v>
      </c>
    </row>
    <row r="171" spans="1:13">
      <c r="A171" s="34" t="str">
        <f>'Final Project Dataset'!D171</f>
        <v>Michael Brown</v>
      </c>
      <c r="B171" s="34" t="str">
        <f t="shared" si="16"/>
        <v>Michael</v>
      </c>
      <c r="C171" s="34" t="str">
        <f t="shared" si="17"/>
        <v>Brown</v>
      </c>
      <c r="D171" s="34" t="str">
        <f t="shared" si="18"/>
        <v>M.B.</v>
      </c>
      <c r="E171" s="34" t="str">
        <f t="shared" si="19"/>
        <v>Michael B.</v>
      </c>
      <c r="F171" s="34" t="str">
        <f t="shared" si="20"/>
        <v>MICHAEL BROWN</v>
      </c>
      <c r="G171" s="34" t="str">
        <f t="shared" si="21"/>
        <v>michael brown</v>
      </c>
      <c r="H171" s="34" t="str">
        <f t="shared" si="22"/>
        <v>Michael Brown</v>
      </c>
      <c r="I171" s="34">
        <f t="shared" si="23"/>
        <v>13</v>
      </c>
      <c r="J171" s="34" t="str">
        <f>IF('Final Project Dataset'!G171="Electronics","ELEC",IF('Final Project Dataset'!G171="Furniture","FURN",IF('Final Project Dataset'!G171="Appliances","APPL","")))</f>
        <v>FURN</v>
      </c>
      <c r="K171" s="34" t="str">
        <f>IF('Final Project Dataset'!K171="North","N",IF('Final Project Dataset'!K171="South","S",IF('Final Project Dataset'!K171="East","E",IF('Final Project Dataset'!K171="West","W",IF('Final Project Dataset'!K171="Central","C","")))))</f>
        <v>S</v>
      </c>
      <c r="L171" s="34" t="str">
        <f>IF('Final Project Dataset'!L171="Premium","PREM",IF('Final Project Dataset'!L171="Standard","STND",IF('Final Project Dataset'!L171="Basic","BASC","")))</f>
        <v>BASC</v>
      </c>
      <c r="M171" s="34" t="str">
        <f>IF('Final Project Dataset'!J171="Credit Card","CC",IF('Final Project Dataset'!J171="Debit Card","DC",IF('Final Project Dataset'!J171="PayPal","PP",IF('Final Project Dataset'!J171="Cash","CSH",""))))</f>
        <v>CSH</v>
      </c>
    </row>
    <row r="172" spans="1:13">
      <c r="A172" s="34" t="str">
        <f>'Final Project Dataset'!D172</f>
        <v>Linda Martin</v>
      </c>
      <c r="B172" s="34" t="str">
        <f t="shared" si="16"/>
        <v>Linda</v>
      </c>
      <c r="C172" s="34" t="str">
        <f t="shared" si="17"/>
        <v>Martin</v>
      </c>
      <c r="D172" s="34" t="str">
        <f t="shared" si="18"/>
        <v>L.M.</v>
      </c>
      <c r="E172" s="34" t="str">
        <f t="shared" si="19"/>
        <v>Linda M.</v>
      </c>
      <c r="F172" s="34" t="str">
        <f t="shared" si="20"/>
        <v>LINDA MARTIN</v>
      </c>
      <c r="G172" s="34" t="str">
        <f t="shared" si="21"/>
        <v>linda martin</v>
      </c>
      <c r="H172" s="34" t="str">
        <f t="shared" si="22"/>
        <v>Linda Martin</v>
      </c>
      <c r="I172" s="34">
        <f t="shared" si="23"/>
        <v>12</v>
      </c>
      <c r="J172" s="34" t="str">
        <f>IF('Final Project Dataset'!G172="Electronics","ELEC",IF('Final Project Dataset'!G172="Furniture","FURN",IF('Final Project Dataset'!G172="Appliances","APPL","")))</f>
        <v>ELEC</v>
      </c>
      <c r="K172" s="34" t="str">
        <f>IF('Final Project Dataset'!K172="North","N",IF('Final Project Dataset'!K172="South","S",IF('Final Project Dataset'!K172="East","E",IF('Final Project Dataset'!K172="West","W",IF('Final Project Dataset'!K172="Central","C","")))))</f>
        <v>W</v>
      </c>
      <c r="L172" s="34" t="str">
        <f>IF('Final Project Dataset'!L172="Premium","PREM",IF('Final Project Dataset'!L172="Standard","STND",IF('Final Project Dataset'!L172="Basic","BASC","")))</f>
        <v>PREM</v>
      </c>
      <c r="M172" s="34" t="str">
        <f>IF('Final Project Dataset'!J172="Credit Card","CC",IF('Final Project Dataset'!J172="Debit Card","DC",IF('Final Project Dataset'!J172="PayPal","PP",IF('Final Project Dataset'!J172="Cash","CSH",""))))</f>
        <v>DC</v>
      </c>
    </row>
    <row r="173" spans="1:13">
      <c r="A173" s="34" t="str">
        <f>'Final Project Dataset'!D173</f>
        <v>David Martinez</v>
      </c>
      <c r="B173" s="34" t="str">
        <f t="shared" si="16"/>
        <v>David</v>
      </c>
      <c r="C173" s="34" t="str">
        <f t="shared" si="17"/>
        <v>Martinez</v>
      </c>
      <c r="D173" s="34" t="str">
        <f t="shared" si="18"/>
        <v>D.M.</v>
      </c>
      <c r="E173" s="34" t="str">
        <f t="shared" si="19"/>
        <v>David M.</v>
      </c>
      <c r="F173" s="34" t="str">
        <f t="shared" si="20"/>
        <v>DAVID MARTINEZ</v>
      </c>
      <c r="G173" s="34" t="str">
        <f t="shared" si="21"/>
        <v>david martinez</v>
      </c>
      <c r="H173" s="34" t="str">
        <f t="shared" si="22"/>
        <v>David Martinez</v>
      </c>
      <c r="I173" s="34">
        <f t="shared" si="23"/>
        <v>14</v>
      </c>
      <c r="J173" s="34" t="str">
        <f>IF('Final Project Dataset'!G173="Electronics","ELEC",IF('Final Project Dataset'!G173="Furniture","FURN",IF('Final Project Dataset'!G173="Appliances","APPL","")))</f>
        <v>FURN</v>
      </c>
      <c r="K173" s="34" t="str">
        <f>IF('Final Project Dataset'!K173="North","N",IF('Final Project Dataset'!K173="South","S",IF('Final Project Dataset'!K173="East","E",IF('Final Project Dataset'!K173="West","W",IF('Final Project Dataset'!K173="Central","C","")))))</f>
        <v>N</v>
      </c>
      <c r="L173" s="34" t="str">
        <f>IF('Final Project Dataset'!L173="Premium","PREM",IF('Final Project Dataset'!L173="Standard","STND",IF('Final Project Dataset'!L173="Basic","BASC","")))</f>
        <v>STND</v>
      </c>
      <c r="M173" s="34" t="str">
        <f>IF('Final Project Dataset'!J173="Credit Card","CC",IF('Final Project Dataset'!J173="Debit Card","DC",IF('Final Project Dataset'!J173="PayPal","PP",IF('Final Project Dataset'!J173="Cash","CSH",""))))</f>
        <v>DC</v>
      </c>
    </row>
    <row r="174" spans="1:13">
      <c r="A174" s="34" t="str">
        <f>'Final Project Dataset'!D174</f>
        <v>Kevin Scott</v>
      </c>
      <c r="B174" s="34" t="str">
        <f t="shared" si="16"/>
        <v>Kevin</v>
      </c>
      <c r="C174" s="34" t="str">
        <f t="shared" si="17"/>
        <v>Scott</v>
      </c>
      <c r="D174" s="34" t="str">
        <f t="shared" si="18"/>
        <v>K.S.</v>
      </c>
      <c r="E174" s="34" t="str">
        <f t="shared" si="19"/>
        <v>Kevin S.</v>
      </c>
      <c r="F174" s="34" t="str">
        <f t="shared" si="20"/>
        <v>KEVIN SCOTT</v>
      </c>
      <c r="G174" s="34" t="str">
        <f t="shared" si="21"/>
        <v>kevin scott</v>
      </c>
      <c r="H174" s="34" t="str">
        <f t="shared" si="22"/>
        <v>Kevin Scott</v>
      </c>
      <c r="I174" s="34">
        <f t="shared" si="23"/>
        <v>11</v>
      </c>
      <c r="J174" s="34" t="str">
        <f>IF('Final Project Dataset'!G174="Electronics","ELEC",IF('Final Project Dataset'!G174="Furniture","FURN",IF('Final Project Dataset'!G174="Appliances","APPL","")))</f>
        <v>FURN</v>
      </c>
      <c r="K174" s="34" t="str">
        <f>IF('Final Project Dataset'!K174="North","N",IF('Final Project Dataset'!K174="South","S",IF('Final Project Dataset'!K174="East","E",IF('Final Project Dataset'!K174="West","W",IF('Final Project Dataset'!K174="Central","C","")))))</f>
        <v>S</v>
      </c>
      <c r="L174" s="34" t="str">
        <f>IF('Final Project Dataset'!L174="Premium","PREM",IF('Final Project Dataset'!L174="Standard","STND",IF('Final Project Dataset'!L174="Basic","BASC","")))</f>
        <v>BASC</v>
      </c>
      <c r="M174" s="34" t="str">
        <f>IF('Final Project Dataset'!J174="Credit Card","CC",IF('Final Project Dataset'!J174="Debit Card","DC",IF('Final Project Dataset'!J174="PayPal","PP",IF('Final Project Dataset'!J174="Cash","CSH",""))))</f>
        <v>PP</v>
      </c>
    </row>
    <row r="175" spans="1:13">
      <c r="A175" s="34" t="str">
        <f>'Final Project Dataset'!D175</f>
        <v>Michael Brown</v>
      </c>
      <c r="B175" s="34" t="str">
        <f t="shared" si="16"/>
        <v>Michael</v>
      </c>
      <c r="C175" s="34" t="str">
        <f t="shared" si="17"/>
        <v>Brown</v>
      </c>
      <c r="D175" s="34" t="str">
        <f t="shared" si="18"/>
        <v>M.B.</v>
      </c>
      <c r="E175" s="34" t="str">
        <f t="shared" si="19"/>
        <v>Michael B.</v>
      </c>
      <c r="F175" s="34" t="str">
        <f t="shared" si="20"/>
        <v>MICHAEL BROWN</v>
      </c>
      <c r="G175" s="34" t="str">
        <f t="shared" si="21"/>
        <v>michael brown</v>
      </c>
      <c r="H175" s="34" t="str">
        <f t="shared" si="22"/>
        <v>Michael Brown</v>
      </c>
      <c r="I175" s="34">
        <f t="shared" si="23"/>
        <v>13</v>
      </c>
      <c r="J175" s="34" t="str">
        <f>IF('Final Project Dataset'!G175="Electronics","ELEC",IF('Final Project Dataset'!G175="Furniture","FURN",IF('Final Project Dataset'!G175="Appliances","APPL","")))</f>
        <v>FURN</v>
      </c>
      <c r="K175" s="34" t="str">
        <f>IF('Final Project Dataset'!K175="North","N",IF('Final Project Dataset'!K175="South","S",IF('Final Project Dataset'!K175="East","E",IF('Final Project Dataset'!K175="West","W",IF('Final Project Dataset'!K175="Central","C","")))))</f>
        <v>W</v>
      </c>
      <c r="L175" s="34" t="str">
        <f>IF('Final Project Dataset'!L175="Premium","PREM",IF('Final Project Dataset'!L175="Standard","STND",IF('Final Project Dataset'!L175="Basic","BASC","")))</f>
        <v>BASC</v>
      </c>
      <c r="M175" s="34" t="str">
        <f>IF('Final Project Dataset'!J175="Credit Card","CC",IF('Final Project Dataset'!J175="Debit Card","DC",IF('Final Project Dataset'!J175="PayPal","PP",IF('Final Project Dataset'!J175="Cash","CSH",""))))</f>
        <v>CSH</v>
      </c>
    </row>
    <row r="176" spans="1:13">
      <c r="A176" s="34" t="str">
        <f>'Final Project Dataset'!D176</f>
        <v>Helen Roberts</v>
      </c>
      <c r="B176" s="34" t="str">
        <f t="shared" si="16"/>
        <v>Helen</v>
      </c>
      <c r="C176" s="34" t="str">
        <f t="shared" si="17"/>
        <v>Roberts</v>
      </c>
      <c r="D176" s="34" t="str">
        <f t="shared" si="18"/>
        <v>H.R.</v>
      </c>
      <c r="E176" s="34" t="str">
        <f t="shared" si="19"/>
        <v>Helen R.</v>
      </c>
      <c r="F176" s="34" t="str">
        <f t="shared" si="20"/>
        <v>HELEN ROBERTS</v>
      </c>
      <c r="G176" s="34" t="str">
        <f t="shared" si="21"/>
        <v>helen roberts</v>
      </c>
      <c r="H176" s="34" t="str">
        <f t="shared" si="22"/>
        <v>Helen Roberts</v>
      </c>
      <c r="I176" s="34">
        <f t="shared" si="23"/>
        <v>13</v>
      </c>
      <c r="J176" s="34" t="str">
        <f>IF('Final Project Dataset'!G176="Electronics","ELEC",IF('Final Project Dataset'!G176="Furniture","FURN",IF('Final Project Dataset'!G176="Appliances","APPL","")))</f>
        <v>FURN</v>
      </c>
      <c r="K176" s="34" t="str">
        <f>IF('Final Project Dataset'!K176="North","N",IF('Final Project Dataset'!K176="South","S",IF('Final Project Dataset'!K176="East","E",IF('Final Project Dataset'!K176="West","W",IF('Final Project Dataset'!K176="Central","C","")))))</f>
        <v>C</v>
      </c>
      <c r="L176" s="34" t="str">
        <f>IF('Final Project Dataset'!L176="Premium","PREM",IF('Final Project Dataset'!L176="Standard","STND",IF('Final Project Dataset'!L176="Basic","BASC","")))</f>
        <v>BASC</v>
      </c>
      <c r="M176" s="34" t="str">
        <f>IF('Final Project Dataset'!J176="Credit Card","CC",IF('Final Project Dataset'!J176="Debit Card","DC",IF('Final Project Dataset'!J176="PayPal","PP",IF('Final Project Dataset'!J176="Cash","CSH",""))))</f>
        <v>CC</v>
      </c>
    </row>
    <row r="177" spans="1:13">
      <c r="A177" s="34" t="str">
        <f>'Final Project Dataset'!D177</f>
        <v>Robert Thomas</v>
      </c>
      <c r="B177" s="34" t="str">
        <f t="shared" si="16"/>
        <v>Robert</v>
      </c>
      <c r="C177" s="34" t="str">
        <f t="shared" si="17"/>
        <v>Thomas</v>
      </c>
      <c r="D177" s="34" t="str">
        <f t="shared" si="18"/>
        <v>R.T.</v>
      </c>
      <c r="E177" s="34" t="str">
        <f t="shared" si="19"/>
        <v>Robert T.</v>
      </c>
      <c r="F177" s="34" t="str">
        <f t="shared" si="20"/>
        <v>ROBERT THOMAS</v>
      </c>
      <c r="G177" s="34" t="str">
        <f t="shared" si="21"/>
        <v>robert thomas</v>
      </c>
      <c r="H177" s="34" t="str">
        <f t="shared" si="22"/>
        <v>Robert Thomas</v>
      </c>
      <c r="I177" s="34">
        <f t="shared" si="23"/>
        <v>13</v>
      </c>
      <c r="J177" s="34" t="str">
        <f>IF('Final Project Dataset'!G177="Electronics","ELEC",IF('Final Project Dataset'!G177="Furniture","FURN",IF('Final Project Dataset'!G177="Appliances","APPL","")))</f>
        <v>ELEC</v>
      </c>
      <c r="K177" s="34" t="str">
        <f>IF('Final Project Dataset'!K177="North","N",IF('Final Project Dataset'!K177="South","S",IF('Final Project Dataset'!K177="East","E",IF('Final Project Dataset'!K177="West","W",IF('Final Project Dataset'!K177="Central","C","")))))</f>
        <v>S</v>
      </c>
      <c r="L177" s="34" t="str">
        <f>IF('Final Project Dataset'!L177="Premium","PREM",IF('Final Project Dataset'!L177="Standard","STND",IF('Final Project Dataset'!L177="Basic","BASC","")))</f>
        <v>PREM</v>
      </c>
      <c r="M177" s="34" t="str">
        <f>IF('Final Project Dataset'!J177="Credit Card","CC",IF('Final Project Dataset'!J177="Debit Card","DC",IF('Final Project Dataset'!J177="PayPal","PP",IF('Final Project Dataset'!J177="Cash","CSH",""))))</f>
        <v>CC</v>
      </c>
    </row>
    <row r="178" spans="1:13">
      <c r="A178" s="34" t="str">
        <f>'Final Project Dataset'!D178</f>
        <v>Nancy Collins</v>
      </c>
      <c r="B178" s="34" t="str">
        <f t="shared" si="16"/>
        <v>Nancy</v>
      </c>
      <c r="C178" s="34" t="str">
        <f t="shared" si="17"/>
        <v>Collins</v>
      </c>
      <c r="D178" s="34" t="str">
        <f t="shared" si="18"/>
        <v>N.C.</v>
      </c>
      <c r="E178" s="34" t="str">
        <f t="shared" si="19"/>
        <v>Nancy C.</v>
      </c>
      <c r="F178" s="34" t="str">
        <f t="shared" si="20"/>
        <v>NANCY COLLINS</v>
      </c>
      <c r="G178" s="34" t="str">
        <f t="shared" si="21"/>
        <v>nancy collins</v>
      </c>
      <c r="H178" s="34" t="str">
        <f t="shared" si="22"/>
        <v>Nancy Collins</v>
      </c>
      <c r="I178" s="34">
        <f t="shared" si="23"/>
        <v>13</v>
      </c>
      <c r="J178" s="34" t="str">
        <f>IF('Final Project Dataset'!G178="Electronics","ELEC",IF('Final Project Dataset'!G178="Furniture","FURN",IF('Final Project Dataset'!G178="Appliances","APPL","")))</f>
        <v>FURN</v>
      </c>
      <c r="K178" s="34" t="str">
        <f>IF('Final Project Dataset'!K178="North","N",IF('Final Project Dataset'!K178="South","S",IF('Final Project Dataset'!K178="East","E",IF('Final Project Dataset'!K178="West","W",IF('Final Project Dataset'!K178="Central","C","")))))</f>
        <v>C</v>
      </c>
      <c r="L178" s="34" t="str">
        <f>IF('Final Project Dataset'!L178="Premium","PREM",IF('Final Project Dataset'!L178="Standard","STND",IF('Final Project Dataset'!L178="Basic","BASC","")))</f>
        <v>PREM</v>
      </c>
      <c r="M178" s="34" t="str">
        <f>IF('Final Project Dataset'!J178="Credit Card","CC",IF('Final Project Dataset'!J178="Debit Card","DC",IF('Final Project Dataset'!J178="PayPal","PP",IF('Final Project Dataset'!J178="Cash","CSH",""))))</f>
        <v>CSH</v>
      </c>
    </row>
    <row r="179" spans="1:13">
      <c r="A179" s="34" t="str">
        <f>'Final Project Dataset'!D179</f>
        <v>Mark Carter</v>
      </c>
      <c r="B179" s="34" t="str">
        <f t="shared" si="16"/>
        <v>Mark</v>
      </c>
      <c r="C179" s="34" t="str">
        <f t="shared" si="17"/>
        <v>Carter</v>
      </c>
      <c r="D179" s="34" t="str">
        <f t="shared" si="18"/>
        <v>M.C.</v>
      </c>
      <c r="E179" s="34" t="str">
        <f t="shared" si="19"/>
        <v>Mark C.</v>
      </c>
      <c r="F179" s="34" t="str">
        <f t="shared" si="20"/>
        <v>MARK CARTER</v>
      </c>
      <c r="G179" s="34" t="str">
        <f t="shared" si="21"/>
        <v>mark carter</v>
      </c>
      <c r="H179" s="34" t="str">
        <f t="shared" si="22"/>
        <v>Mark Carter</v>
      </c>
      <c r="I179" s="34">
        <f t="shared" si="23"/>
        <v>11</v>
      </c>
      <c r="J179" s="34" t="str">
        <f>IF('Final Project Dataset'!G179="Electronics","ELEC",IF('Final Project Dataset'!G179="Furniture","FURN",IF('Final Project Dataset'!G179="Appliances","APPL","")))</f>
        <v>ELEC</v>
      </c>
      <c r="K179" s="34" t="str">
        <f>IF('Final Project Dataset'!K179="North","N",IF('Final Project Dataset'!K179="South","S",IF('Final Project Dataset'!K179="East","E",IF('Final Project Dataset'!K179="West","W",IF('Final Project Dataset'!K179="Central","C","")))))</f>
        <v>N</v>
      </c>
      <c r="L179" s="34" t="str">
        <f>IF('Final Project Dataset'!L179="Premium","PREM",IF('Final Project Dataset'!L179="Standard","STND",IF('Final Project Dataset'!L179="Basic","BASC","")))</f>
        <v>PREM</v>
      </c>
      <c r="M179" s="34" t="str">
        <f>IF('Final Project Dataset'!J179="Credit Card","CC",IF('Final Project Dataset'!J179="Debit Card","DC",IF('Final Project Dataset'!J179="PayPal","PP",IF('Final Project Dataset'!J179="Cash","CSH",""))))</f>
        <v>PP</v>
      </c>
    </row>
    <row r="180" spans="1:13">
      <c r="A180" s="34" t="str">
        <f>'Final Project Dataset'!D180</f>
        <v>Daniel King</v>
      </c>
      <c r="B180" s="34" t="str">
        <f t="shared" si="16"/>
        <v>Daniel</v>
      </c>
      <c r="C180" s="34" t="str">
        <f t="shared" si="17"/>
        <v>King</v>
      </c>
      <c r="D180" s="34" t="str">
        <f t="shared" si="18"/>
        <v>D.K.</v>
      </c>
      <c r="E180" s="34" t="str">
        <f t="shared" si="19"/>
        <v>Daniel K.</v>
      </c>
      <c r="F180" s="34" t="str">
        <f t="shared" si="20"/>
        <v>DANIEL KING</v>
      </c>
      <c r="G180" s="34" t="str">
        <f t="shared" si="21"/>
        <v>daniel king</v>
      </c>
      <c r="H180" s="34" t="str">
        <f t="shared" si="22"/>
        <v>Daniel King</v>
      </c>
      <c r="I180" s="34">
        <f t="shared" si="23"/>
        <v>11</v>
      </c>
      <c r="J180" s="34" t="str">
        <f>IF('Final Project Dataset'!G180="Electronics","ELEC",IF('Final Project Dataset'!G180="Furniture","FURN",IF('Final Project Dataset'!G180="Appliances","APPL","")))</f>
        <v>ELEC</v>
      </c>
      <c r="K180" s="34" t="str">
        <f>IF('Final Project Dataset'!K180="North","N",IF('Final Project Dataset'!K180="South","S",IF('Final Project Dataset'!K180="East","E",IF('Final Project Dataset'!K180="West","W",IF('Final Project Dataset'!K180="Central","C","")))))</f>
        <v>S</v>
      </c>
      <c r="L180" s="34" t="str">
        <f>IF('Final Project Dataset'!L180="Premium","PREM",IF('Final Project Dataset'!L180="Standard","STND",IF('Final Project Dataset'!L180="Basic","BASC","")))</f>
        <v>PREM</v>
      </c>
      <c r="M180" s="34" t="str">
        <f>IF('Final Project Dataset'!J180="Credit Card","CC",IF('Final Project Dataset'!J180="Debit Card","DC",IF('Final Project Dataset'!J180="PayPal","PP",IF('Final Project Dataset'!J180="Cash","CSH",""))))</f>
        <v>CC</v>
      </c>
    </row>
    <row r="181" spans="1:13">
      <c r="A181" s="34" t="str">
        <f>'Final Project Dataset'!D181</f>
        <v>Arthur Edwards</v>
      </c>
      <c r="B181" s="34" t="str">
        <f t="shared" si="16"/>
        <v>Arthur</v>
      </c>
      <c r="C181" s="34" t="str">
        <f t="shared" si="17"/>
        <v>Edwards</v>
      </c>
      <c r="D181" s="34" t="str">
        <f t="shared" si="18"/>
        <v>A.E.</v>
      </c>
      <c r="E181" s="34" t="str">
        <f t="shared" si="19"/>
        <v>Arthur E.</v>
      </c>
      <c r="F181" s="34" t="str">
        <f t="shared" si="20"/>
        <v>ARTHUR EDWARDS</v>
      </c>
      <c r="G181" s="34" t="str">
        <f t="shared" si="21"/>
        <v>arthur edwards</v>
      </c>
      <c r="H181" s="34" t="str">
        <f t="shared" si="22"/>
        <v>Arthur Edwards</v>
      </c>
      <c r="I181" s="34">
        <f t="shared" si="23"/>
        <v>14</v>
      </c>
      <c r="J181" s="34" t="str">
        <f>IF('Final Project Dataset'!G181="Electronics","ELEC",IF('Final Project Dataset'!G181="Furniture","FURN",IF('Final Project Dataset'!G181="Appliances","APPL","")))</f>
        <v>ELEC</v>
      </c>
      <c r="K181" s="34" t="str">
        <f>IF('Final Project Dataset'!K181="North","N",IF('Final Project Dataset'!K181="South","S",IF('Final Project Dataset'!K181="East","E",IF('Final Project Dataset'!K181="West","W",IF('Final Project Dataset'!K181="Central","C","")))))</f>
        <v>N</v>
      </c>
      <c r="L181" s="34" t="str">
        <f>IF('Final Project Dataset'!L181="Premium","PREM",IF('Final Project Dataset'!L181="Standard","STND",IF('Final Project Dataset'!L181="Basic","BASC","")))</f>
        <v>STND</v>
      </c>
      <c r="M181" s="34" t="str">
        <f>IF('Final Project Dataset'!J181="Credit Card","CC",IF('Final Project Dataset'!J181="Debit Card","DC",IF('Final Project Dataset'!J181="PayPal","PP",IF('Final Project Dataset'!J181="Cash","CSH",""))))</f>
        <v>PP</v>
      </c>
    </row>
    <row r="182" spans="1:13">
      <c r="A182" s="34" t="str">
        <f>'Final Project Dataset'!D182</f>
        <v>Lisa Anderson</v>
      </c>
      <c r="B182" s="34" t="str">
        <f t="shared" si="16"/>
        <v>Lisa</v>
      </c>
      <c r="C182" s="34" t="str">
        <f t="shared" si="17"/>
        <v>Anderson</v>
      </c>
      <c r="D182" s="34" t="str">
        <f t="shared" si="18"/>
        <v>L.A.</v>
      </c>
      <c r="E182" s="34" t="str">
        <f t="shared" si="19"/>
        <v>Lisa A.</v>
      </c>
      <c r="F182" s="34" t="str">
        <f t="shared" si="20"/>
        <v>LISA ANDERSON</v>
      </c>
      <c r="G182" s="34" t="str">
        <f t="shared" si="21"/>
        <v>lisa anderson</v>
      </c>
      <c r="H182" s="34" t="str">
        <f t="shared" si="22"/>
        <v>Lisa Anderson</v>
      </c>
      <c r="I182" s="34">
        <f t="shared" si="23"/>
        <v>13</v>
      </c>
      <c r="J182" s="34" t="str">
        <f>IF('Final Project Dataset'!G182="Electronics","ELEC",IF('Final Project Dataset'!G182="Furniture","FURN",IF('Final Project Dataset'!G182="Appliances","APPL","")))</f>
        <v>ELEC</v>
      </c>
      <c r="K182" s="34" t="str">
        <f>IF('Final Project Dataset'!K182="North","N",IF('Final Project Dataset'!K182="South","S",IF('Final Project Dataset'!K182="East","E",IF('Final Project Dataset'!K182="West","W",IF('Final Project Dataset'!K182="Central","C","")))))</f>
        <v>E</v>
      </c>
      <c r="L182" s="34" t="str">
        <f>IF('Final Project Dataset'!L182="Premium","PREM",IF('Final Project Dataset'!L182="Standard","STND",IF('Final Project Dataset'!L182="Basic","BASC","")))</f>
        <v>PREM</v>
      </c>
      <c r="M182" s="34" t="str">
        <f>IF('Final Project Dataset'!J182="Credit Card","CC",IF('Final Project Dataset'!J182="Debit Card","DC",IF('Final Project Dataset'!J182="PayPal","PP",IF('Final Project Dataset'!J182="Cash","CSH",""))))</f>
        <v>PP</v>
      </c>
    </row>
    <row r="183" spans="1:13">
      <c r="A183" s="34" t="str">
        <f>'Final Project Dataset'!D183</f>
        <v>Michael Brown</v>
      </c>
      <c r="B183" s="34" t="str">
        <f t="shared" si="16"/>
        <v>Michael</v>
      </c>
      <c r="C183" s="34" t="str">
        <f t="shared" si="17"/>
        <v>Brown</v>
      </c>
      <c r="D183" s="34" t="str">
        <f t="shared" si="18"/>
        <v>M.B.</v>
      </c>
      <c r="E183" s="34" t="str">
        <f t="shared" si="19"/>
        <v>Michael B.</v>
      </c>
      <c r="F183" s="34" t="str">
        <f t="shared" si="20"/>
        <v>MICHAEL BROWN</v>
      </c>
      <c r="G183" s="34" t="str">
        <f t="shared" si="21"/>
        <v>michael brown</v>
      </c>
      <c r="H183" s="34" t="str">
        <f t="shared" si="22"/>
        <v>Michael Brown</v>
      </c>
      <c r="I183" s="34">
        <f t="shared" si="23"/>
        <v>13</v>
      </c>
      <c r="J183" s="34" t="str">
        <f>IF('Final Project Dataset'!G183="Electronics","ELEC",IF('Final Project Dataset'!G183="Furniture","FURN",IF('Final Project Dataset'!G183="Appliances","APPL","")))</f>
        <v>FURN</v>
      </c>
      <c r="K183" s="34" t="str">
        <f>IF('Final Project Dataset'!K183="North","N",IF('Final Project Dataset'!K183="South","S",IF('Final Project Dataset'!K183="East","E",IF('Final Project Dataset'!K183="West","W",IF('Final Project Dataset'!K183="Central","C","")))))</f>
        <v>S</v>
      </c>
      <c r="L183" s="34" t="str">
        <f>IF('Final Project Dataset'!L183="Premium","PREM",IF('Final Project Dataset'!L183="Standard","STND",IF('Final Project Dataset'!L183="Basic","BASC","")))</f>
        <v>STND</v>
      </c>
      <c r="M183" s="34" t="str">
        <f>IF('Final Project Dataset'!J183="Credit Card","CC",IF('Final Project Dataset'!J183="Debit Card","DC",IF('Final Project Dataset'!J183="PayPal","PP",IF('Final Project Dataset'!J183="Cash","CSH",""))))</f>
        <v>CSH</v>
      </c>
    </row>
    <row r="184" spans="1:13">
      <c r="A184" s="34" t="str">
        <f>'Final Project Dataset'!D184</f>
        <v>Karen Hill</v>
      </c>
      <c r="B184" s="34" t="str">
        <f t="shared" si="16"/>
        <v>Karen</v>
      </c>
      <c r="C184" s="34" t="str">
        <f t="shared" si="17"/>
        <v>Hill</v>
      </c>
      <c r="D184" s="34" t="str">
        <f t="shared" si="18"/>
        <v>K.H.</v>
      </c>
      <c r="E184" s="34" t="str">
        <f t="shared" si="19"/>
        <v>Karen H.</v>
      </c>
      <c r="F184" s="34" t="str">
        <f t="shared" si="20"/>
        <v>KAREN HILL</v>
      </c>
      <c r="G184" s="34" t="str">
        <f t="shared" si="21"/>
        <v>karen hill</v>
      </c>
      <c r="H184" s="34" t="str">
        <f t="shared" si="22"/>
        <v>Karen Hill</v>
      </c>
      <c r="I184" s="34">
        <f t="shared" si="23"/>
        <v>10</v>
      </c>
      <c r="J184" s="34" t="str">
        <f>IF('Final Project Dataset'!G184="Electronics","ELEC",IF('Final Project Dataset'!G184="Furniture","FURN",IF('Final Project Dataset'!G184="Appliances","APPL","")))</f>
        <v>ELEC</v>
      </c>
      <c r="K184" s="34" t="str">
        <f>IF('Final Project Dataset'!K184="North","N",IF('Final Project Dataset'!K184="South","S",IF('Final Project Dataset'!K184="East","E",IF('Final Project Dataset'!K184="West","W",IF('Final Project Dataset'!K184="Central","C","")))))</f>
        <v>C</v>
      </c>
      <c r="L184" s="34" t="str">
        <f>IF('Final Project Dataset'!L184="Premium","PREM",IF('Final Project Dataset'!L184="Standard","STND",IF('Final Project Dataset'!L184="Basic","BASC","")))</f>
        <v>PREM</v>
      </c>
      <c r="M184" s="34" t="str">
        <f>IF('Final Project Dataset'!J184="Credit Card","CC",IF('Final Project Dataset'!J184="Debit Card","DC",IF('Final Project Dataset'!J184="PayPal","PP",IF('Final Project Dataset'!J184="Cash","CSH",""))))</f>
        <v>CC</v>
      </c>
    </row>
    <row r="185" spans="1:13">
      <c r="A185" s="34" t="str">
        <f>'Final Project Dataset'!D185</f>
        <v>Nancy Collins</v>
      </c>
      <c r="B185" s="34" t="str">
        <f t="shared" si="16"/>
        <v>Nancy</v>
      </c>
      <c r="C185" s="34" t="str">
        <f t="shared" si="17"/>
        <v>Collins</v>
      </c>
      <c r="D185" s="34" t="str">
        <f t="shared" si="18"/>
        <v>N.C.</v>
      </c>
      <c r="E185" s="34" t="str">
        <f t="shared" si="19"/>
        <v>Nancy C.</v>
      </c>
      <c r="F185" s="34" t="str">
        <f t="shared" si="20"/>
        <v>NANCY COLLINS</v>
      </c>
      <c r="G185" s="34" t="str">
        <f t="shared" si="21"/>
        <v>nancy collins</v>
      </c>
      <c r="H185" s="34" t="str">
        <f t="shared" si="22"/>
        <v>Nancy Collins</v>
      </c>
      <c r="I185" s="34">
        <f t="shared" si="23"/>
        <v>13</v>
      </c>
      <c r="J185" s="34" t="str">
        <f>IF('Final Project Dataset'!G185="Electronics","ELEC",IF('Final Project Dataset'!G185="Furniture","FURN",IF('Final Project Dataset'!G185="Appliances","APPL","")))</f>
        <v>FURN</v>
      </c>
      <c r="K185" s="34" t="str">
        <f>IF('Final Project Dataset'!K185="North","N",IF('Final Project Dataset'!K185="South","S",IF('Final Project Dataset'!K185="East","E",IF('Final Project Dataset'!K185="West","W",IF('Final Project Dataset'!K185="Central","C","")))))</f>
        <v>C</v>
      </c>
      <c r="L185" s="34" t="str">
        <f>IF('Final Project Dataset'!L185="Premium","PREM",IF('Final Project Dataset'!L185="Standard","STND",IF('Final Project Dataset'!L185="Basic","BASC","")))</f>
        <v>STND</v>
      </c>
      <c r="M185" s="34" t="str">
        <f>IF('Final Project Dataset'!J185="Credit Card","CC",IF('Final Project Dataset'!J185="Debit Card","DC",IF('Final Project Dataset'!J185="PayPal","PP",IF('Final Project Dataset'!J185="Cash","CSH",""))))</f>
        <v>PP</v>
      </c>
    </row>
    <row r="186" spans="1:13">
      <c r="A186" s="34" t="str">
        <f>'Final Project Dataset'!D186</f>
        <v>Virginia Sanders</v>
      </c>
      <c r="B186" s="34" t="str">
        <f t="shared" si="16"/>
        <v>Virginia</v>
      </c>
      <c r="C186" s="34" t="str">
        <f t="shared" si="17"/>
        <v>Sanders</v>
      </c>
      <c r="D186" s="34" t="str">
        <f t="shared" si="18"/>
        <v>V.S.</v>
      </c>
      <c r="E186" s="34" t="str">
        <f t="shared" si="19"/>
        <v>Virginia S.</v>
      </c>
      <c r="F186" s="34" t="str">
        <f t="shared" si="20"/>
        <v>VIRGINIA SANDERS</v>
      </c>
      <c r="G186" s="34" t="str">
        <f t="shared" si="21"/>
        <v>virginia sanders</v>
      </c>
      <c r="H186" s="34" t="str">
        <f t="shared" si="22"/>
        <v>Virginia Sanders</v>
      </c>
      <c r="I186" s="34">
        <f t="shared" si="23"/>
        <v>16</v>
      </c>
      <c r="J186" s="34" t="str">
        <f>IF('Final Project Dataset'!G186="Electronics","ELEC",IF('Final Project Dataset'!G186="Furniture","FURN",IF('Final Project Dataset'!G186="Appliances","APPL","")))</f>
        <v>ELEC</v>
      </c>
      <c r="K186" s="34" t="str">
        <f>IF('Final Project Dataset'!K186="North","N",IF('Final Project Dataset'!K186="South","S",IF('Final Project Dataset'!K186="East","E",IF('Final Project Dataset'!K186="West","W",IF('Final Project Dataset'!K186="Central","C","")))))</f>
        <v>S</v>
      </c>
      <c r="L186" s="34" t="str">
        <f>IF('Final Project Dataset'!L186="Premium","PREM",IF('Final Project Dataset'!L186="Standard","STND",IF('Final Project Dataset'!L186="Basic","BASC","")))</f>
        <v>BASC</v>
      </c>
      <c r="M186" s="34" t="str">
        <f>IF('Final Project Dataset'!J186="Credit Card","CC",IF('Final Project Dataset'!J186="Debit Card","DC",IF('Final Project Dataset'!J186="PayPal","PP",IF('Final Project Dataset'!J186="Cash","CSH",""))))</f>
        <v>CC</v>
      </c>
    </row>
    <row r="187" spans="1:13">
      <c r="A187" s="34" t="str">
        <f>'Final Project Dataset'!D187</f>
        <v>Steven Turner</v>
      </c>
      <c r="B187" s="34" t="str">
        <f t="shared" si="16"/>
        <v>Steven</v>
      </c>
      <c r="C187" s="34" t="str">
        <f t="shared" si="17"/>
        <v>Turner</v>
      </c>
      <c r="D187" s="34" t="str">
        <f t="shared" si="18"/>
        <v>S.T.</v>
      </c>
      <c r="E187" s="34" t="str">
        <f t="shared" si="19"/>
        <v>Steven T.</v>
      </c>
      <c r="F187" s="34" t="str">
        <f t="shared" si="20"/>
        <v>STEVEN TURNER</v>
      </c>
      <c r="G187" s="34" t="str">
        <f t="shared" si="21"/>
        <v>steven turner</v>
      </c>
      <c r="H187" s="34" t="str">
        <f t="shared" si="22"/>
        <v>Steven Turner</v>
      </c>
      <c r="I187" s="34">
        <f t="shared" si="23"/>
        <v>13</v>
      </c>
      <c r="J187" s="34" t="str">
        <f>IF('Final Project Dataset'!G187="Electronics","ELEC",IF('Final Project Dataset'!G187="Furniture","FURN",IF('Final Project Dataset'!G187="Appliances","APPL","")))</f>
        <v>ELEC</v>
      </c>
      <c r="K187" s="34" t="str">
        <f>IF('Final Project Dataset'!K187="North","N",IF('Final Project Dataset'!K187="South","S",IF('Final Project Dataset'!K187="East","E",IF('Final Project Dataset'!K187="West","W",IF('Final Project Dataset'!K187="Central","C","")))))</f>
        <v>E</v>
      </c>
      <c r="L187" s="34" t="str">
        <f>IF('Final Project Dataset'!L187="Premium","PREM",IF('Final Project Dataset'!L187="Standard","STND",IF('Final Project Dataset'!L187="Basic","BASC","")))</f>
        <v>STND</v>
      </c>
      <c r="M187" s="34" t="str">
        <f>IF('Final Project Dataset'!J187="Credit Card","CC",IF('Final Project Dataset'!J187="Debit Card","DC",IF('Final Project Dataset'!J187="PayPal","PP",IF('Final Project Dataset'!J187="Cash","CSH",""))))</f>
        <v>DC</v>
      </c>
    </row>
    <row r="188" spans="1:13">
      <c r="A188" s="34" t="str">
        <f>'Final Project Dataset'!D188</f>
        <v>Michelle Rogers</v>
      </c>
      <c r="B188" s="34" t="str">
        <f t="shared" si="16"/>
        <v>Michelle</v>
      </c>
      <c r="C188" s="34" t="str">
        <f t="shared" si="17"/>
        <v>Rogers</v>
      </c>
      <c r="D188" s="34" t="str">
        <f t="shared" si="18"/>
        <v>M.R.</v>
      </c>
      <c r="E188" s="34" t="str">
        <f t="shared" si="19"/>
        <v>Michelle R.</v>
      </c>
      <c r="F188" s="34" t="str">
        <f t="shared" si="20"/>
        <v>MICHELLE ROGERS</v>
      </c>
      <c r="G188" s="34" t="str">
        <f t="shared" si="21"/>
        <v>michelle rogers</v>
      </c>
      <c r="H188" s="34" t="str">
        <f t="shared" si="22"/>
        <v>Michelle Rogers</v>
      </c>
      <c r="I188" s="34">
        <f t="shared" si="23"/>
        <v>15</v>
      </c>
      <c r="J188" s="34" t="str">
        <f>IF('Final Project Dataset'!G188="Electronics","ELEC",IF('Final Project Dataset'!G188="Furniture","FURN",IF('Final Project Dataset'!G188="Appliances","APPL","")))</f>
        <v>ELEC</v>
      </c>
      <c r="K188" s="34" t="str">
        <f>IF('Final Project Dataset'!K188="North","N",IF('Final Project Dataset'!K188="South","S",IF('Final Project Dataset'!K188="East","E",IF('Final Project Dataset'!K188="West","W",IF('Final Project Dataset'!K188="Central","C","")))))</f>
        <v>N</v>
      </c>
      <c r="L188" s="34" t="str">
        <f>IF('Final Project Dataset'!L188="Premium","PREM",IF('Final Project Dataset'!L188="Standard","STND",IF('Final Project Dataset'!L188="Basic","BASC","")))</f>
        <v>PREM</v>
      </c>
      <c r="M188" s="34" t="str">
        <f>IF('Final Project Dataset'!J188="Credit Card","CC",IF('Final Project Dataset'!J188="Debit Card","DC",IF('Final Project Dataset'!J188="PayPal","PP",IF('Final Project Dataset'!J188="Cash","CSH",""))))</f>
        <v>CSH</v>
      </c>
    </row>
    <row r="189" spans="1:13">
      <c r="A189" s="34" t="str">
        <f>'Final Project Dataset'!D189</f>
        <v>Douglas Watson</v>
      </c>
      <c r="B189" s="34" t="str">
        <f t="shared" si="16"/>
        <v>Douglas</v>
      </c>
      <c r="C189" s="34" t="str">
        <f t="shared" si="17"/>
        <v>Watson</v>
      </c>
      <c r="D189" s="34" t="str">
        <f t="shared" si="18"/>
        <v>D.W.</v>
      </c>
      <c r="E189" s="34" t="str">
        <f t="shared" si="19"/>
        <v>Douglas W.</v>
      </c>
      <c r="F189" s="34" t="str">
        <f t="shared" si="20"/>
        <v>DOUGLAS WATSON</v>
      </c>
      <c r="G189" s="34" t="str">
        <f t="shared" si="21"/>
        <v>douglas watson</v>
      </c>
      <c r="H189" s="34" t="str">
        <f t="shared" si="22"/>
        <v>Douglas Watson</v>
      </c>
      <c r="I189" s="34">
        <f t="shared" si="23"/>
        <v>14</v>
      </c>
      <c r="J189" s="34" t="str">
        <f>IF('Final Project Dataset'!G189="Electronics","ELEC",IF('Final Project Dataset'!G189="Furniture","FURN",IF('Final Project Dataset'!G189="Appliances","APPL","")))</f>
        <v>APPL</v>
      </c>
      <c r="K189" s="34" t="str">
        <f>IF('Final Project Dataset'!K189="North","N",IF('Final Project Dataset'!K189="South","S",IF('Final Project Dataset'!K189="East","E",IF('Final Project Dataset'!K189="West","W",IF('Final Project Dataset'!K189="Central","C","")))))</f>
        <v>S</v>
      </c>
      <c r="L189" s="34" t="str">
        <f>IF('Final Project Dataset'!L189="Premium","PREM",IF('Final Project Dataset'!L189="Standard","STND",IF('Final Project Dataset'!L189="Basic","BASC","")))</f>
        <v>BASC</v>
      </c>
      <c r="M189" s="34" t="str">
        <f>IF('Final Project Dataset'!J189="Credit Card","CC",IF('Final Project Dataset'!J189="Debit Card","DC",IF('Final Project Dataset'!J189="PayPal","PP",IF('Final Project Dataset'!J189="Cash","CSH",""))))</f>
        <v>CC</v>
      </c>
    </row>
    <row r="190" spans="1:13">
      <c r="A190" s="34" t="str">
        <f>'Final Project Dataset'!D190</f>
        <v>Mark Carter</v>
      </c>
      <c r="B190" s="34" t="str">
        <f t="shared" si="16"/>
        <v>Mark</v>
      </c>
      <c r="C190" s="34" t="str">
        <f t="shared" si="17"/>
        <v>Carter</v>
      </c>
      <c r="D190" s="34" t="str">
        <f t="shared" si="18"/>
        <v>M.C.</v>
      </c>
      <c r="E190" s="34" t="str">
        <f t="shared" si="19"/>
        <v>Mark C.</v>
      </c>
      <c r="F190" s="34" t="str">
        <f t="shared" si="20"/>
        <v>MARK CARTER</v>
      </c>
      <c r="G190" s="34" t="str">
        <f t="shared" si="21"/>
        <v>mark carter</v>
      </c>
      <c r="H190" s="34" t="str">
        <f t="shared" si="22"/>
        <v>Mark Carter</v>
      </c>
      <c r="I190" s="34">
        <f t="shared" si="23"/>
        <v>11</v>
      </c>
      <c r="J190" s="34" t="str">
        <f>IF('Final Project Dataset'!G190="Electronics","ELEC",IF('Final Project Dataset'!G190="Furniture","FURN",IF('Final Project Dataset'!G190="Appliances","APPL","")))</f>
        <v>FURN</v>
      </c>
      <c r="K190" s="34" t="str">
        <f>IF('Final Project Dataset'!K190="North","N",IF('Final Project Dataset'!K190="South","S",IF('Final Project Dataset'!K190="East","E",IF('Final Project Dataset'!K190="West","W",IF('Final Project Dataset'!K190="Central","C","")))))</f>
        <v>N</v>
      </c>
      <c r="L190" s="34" t="str">
        <f>IF('Final Project Dataset'!L190="Premium","PREM",IF('Final Project Dataset'!L190="Standard","STND",IF('Final Project Dataset'!L190="Basic","BASC","")))</f>
        <v>BASC</v>
      </c>
      <c r="M190" s="34" t="str">
        <f>IF('Final Project Dataset'!J190="Credit Card","CC",IF('Final Project Dataset'!J190="Debit Card","DC",IF('Final Project Dataset'!J190="PayPal","PP",IF('Final Project Dataset'!J190="Cash","CSH",""))))</f>
        <v>CC</v>
      </c>
    </row>
    <row r="191" spans="1:13">
      <c r="A191" s="34" t="str">
        <f>'Final Project Dataset'!D191</f>
        <v>Betty Campbell</v>
      </c>
      <c r="B191" s="34" t="str">
        <f t="shared" si="16"/>
        <v>Betty</v>
      </c>
      <c r="C191" s="34" t="str">
        <f t="shared" si="17"/>
        <v>Campbell</v>
      </c>
      <c r="D191" s="34" t="str">
        <f t="shared" si="18"/>
        <v>B.C.</v>
      </c>
      <c r="E191" s="34" t="str">
        <f t="shared" si="19"/>
        <v>Betty C.</v>
      </c>
      <c r="F191" s="34" t="str">
        <f t="shared" si="20"/>
        <v>BETTY CAMPBELL</v>
      </c>
      <c r="G191" s="34" t="str">
        <f t="shared" si="21"/>
        <v>betty campbell</v>
      </c>
      <c r="H191" s="34" t="str">
        <f t="shared" si="22"/>
        <v>Betty Campbell</v>
      </c>
      <c r="I191" s="34">
        <f t="shared" si="23"/>
        <v>14</v>
      </c>
      <c r="J191" s="34" t="str">
        <f>IF('Final Project Dataset'!G191="Electronics","ELEC",IF('Final Project Dataset'!G191="Furniture","FURN",IF('Final Project Dataset'!G191="Appliances","APPL","")))</f>
        <v>ELEC</v>
      </c>
      <c r="K191" s="34" t="str">
        <f>IF('Final Project Dataset'!K191="North","N",IF('Final Project Dataset'!K191="South","S",IF('Final Project Dataset'!K191="East","E",IF('Final Project Dataset'!K191="West","W",IF('Final Project Dataset'!K191="Central","C","")))))</f>
        <v>N</v>
      </c>
      <c r="L191" s="34" t="str">
        <f>IF('Final Project Dataset'!L191="Premium","PREM",IF('Final Project Dataset'!L191="Standard","STND",IF('Final Project Dataset'!L191="Basic","BASC","")))</f>
        <v>PREM</v>
      </c>
      <c r="M191" s="34" t="str">
        <f>IF('Final Project Dataset'!J191="Credit Card","CC",IF('Final Project Dataset'!J191="Debit Card","DC",IF('Final Project Dataset'!J191="PayPal","PP",IF('Final Project Dataset'!J191="Cash","CSH",""))))</f>
        <v>CC</v>
      </c>
    </row>
    <row r="192" spans="1:13">
      <c r="A192" s="34" t="str">
        <f>'Final Project Dataset'!D192</f>
        <v>Helen Roberts</v>
      </c>
      <c r="B192" s="34" t="str">
        <f t="shared" si="16"/>
        <v>Helen</v>
      </c>
      <c r="C192" s="34" t="str">
        <f t="shared" si="17"/>
        <v>Roberts</v>
      </c>
      <c r="D192" s="34" t="str">
        <f t="shared" si="18"/>
        <v>H.R.</v>
      </c>
      <c r="E192" s="34" t="str">
        <f t="shared" si="19"/>
        <v>Helen R.</v>
      </c>
      <c r="F192" s="34" t="str">
        <f t="shared" si="20"/>
        <v>HELEN ROBERTS</v>
      </c>
      <c r="G192" s="34" t="str">
        <f t="shared" si="21"/>
        <v>helen roberts</v>
      </c>
      <c r="H192" s="34" t="str">
        <f t="shared" si="22"/>
        <v>Helen Roberts</v>
      </c>
      <c r="I192" s="34">
        <f t="shared" si="23"/>
        <v>13</v>
      </c>
      <c r="J192" s="34" t="str">
        <f>IF('Final Project Dataset'!G192="Electronics","ELEC",IF('Final Project Dataset'!G192="Furniture","FURN",IF('Final Project Dataset'!G192="Appliances","APPL","")))</f>
        <v>ELEC</v>
      </c>
      <c r="K192" s="34" t="str">
        <f>IF('Final Project Dataset'!K192="North","N",IF('Final Project Dataset'!K192="South","S",IF('Final Project Dataset'!K192="East","E",IF('Final Project Dataset'!K192="West","W",IF('Final Project Dataset'!K192="Central","C","")))))</f>
        <v>N</v>
      </c>
      <c r="L192" s="34" t="str">
        <f>IF('Final Project Dataset'!L192="Premium","PREM",IF('Final Project Dataset'!L192="Standard","STND",IF('Final Project Dataset'!L192="Basic","BASC","")))</f>
        <v>STND</v>
      </c>
      <c r="M192" s="34" t="str">
        <f>IF('Final Project Dataset'!J192="Credit Card","CC",IF('Final Project Dataset'!J192="Debit Card","DC",IF('Final Project Dataset'!J192="PayPal","PP",IF('Final Project Dataset'!J192="Cash","CSH",""))))</f>
        <v>CSH</v>
      </c>
    </row>
    <row r="193" spans="1:13">
      <c r="A193" s="34" t="str">
        <f>'Final Project Dataset'!D193</f>
        <v>Sandra Phillips</v>
      </c>
      <c r="B193" s="34" t="str">
        <f t="shared" si="16"/>
        <v>Sandra</v>
      </c>
      <c r="C193" s="34" t="str">
        <f t="shared" si="17"/>
        <v>Phillips</v>
      </c>
      <c r="D193" s="34" t="str">
        <f t="shared" si="18"/>
        <v>S.P.</v>
      </c>
      <c r="E193" s="34" t="str">
        <f t="shared" si="19"/>
        <v>Sandra P.</v>
      </c>
      <c r="F193" s="34" t="str">
        <f t="shared" si="20"/>
        <v>SANDRA PHILLIPS</v>
      </c>
      <c r="G193" s="34" t="str">
        <f t="shared" si="21"/>
        <v>sandra phillips</v>
      </c>
      <c r="H193" s="34" t="str">
        <f t="shared" si="22"/>
        <v>Sandra Phillips</v>
      </c>
      <c r="I193" s="34">
        <f t="shared" si="23"/>
        <v>15</v>
      </c>
      <c r="J193" s="34" t="str">
        <f>IF('Final Project Dataset'!G193="Electronics","ELEC",IF('Final Project Dataset'!G193="Furniture","FURN",IF('Final Project Dataset'!G193="Appliances","APPL","")))</f>
        <v>FURN</v>
      </c>
      <c r="K193" s="34" t="str">
        <f>IF('Final Project Dataset'!K193="North","N",IF('Final Project Dataset'!K193="South","S",IF('Final Project Dataset'!K193="East","E",IF('Final Project Dataset'!K193="West","W",IF('Final Project Dataset'!K193="Central","C","")))))</f>
        <v>S</v>
      </c>
      <c r="L193" s="34" t="str">
        <f>IF('Final Project Dataset'!L193="Premium","PREM",IF('Final Project Dataset'!L193="Standard","STND",IF('Final Project Dataset'!L193="Basic","BASC","")))</f>
        <v>BASC</v>
      </c>
      <c r="M193" s="34" t="str">
        <f>IF('Final Project Dataset'!J193="Credit Card","CC",IF('Final Project Dataset'!J193="Debit Card","DC",IF('Final Project Dataset'!J193="PayPal","PP",IF('Final Project Dataset'!J193="Cash","CSH",""))))</f>
        <v>CC</v>
      </c>
    </row>
    <row r="194" spans="1:13">
      <c r="A194" s="34" t="str">
        <f>'Final Project Dataset'!D194</f>
        <v>Lawrence Reed</v>
      </c>
      <c r="B194" s="34" t="str">
        <f t="shared" si="16"/>
        <v>Lawrence</v>
      </c>
      <c r="C194" s="34" t="str">
        <f t="shared" si="17"/>
        <v>Reed</v>
      </c>
      <c r="D194" s="34" t="str">
        <f t="shared" si="18"/>
        <v>L.R.</v>
      </c>
      <c r="E194" s="34" t="str">
        <f t="shared" si="19"/>
        <v>Lawrence R.</v>
      </c>
      <c r="F194" s="34" t="str">
        <f t="shared" si="20"/>
        <v>LAWRENCE REED</v>
      </c>
      <c r="G194" s="34" t="str">
        <f t="shared" si="21"/>
        <v>lawrence reed</v>
      </c>
      <c r="H194" s="34" t="str">
        <f t="shared" si="22"/>
        <v>Lawrence Reed</v>
      </c>
      <c r="I194" s="34">
        <f t="shared" si="23"/>
        <v>13</v>
      </c>
      <c r="J194" s="34" t="str">
        <f>IF('Final Project Dataset'!G194="Electronics","ELEC",IF('Final Project Dataset'!G194="Furniture","FURN",IF('Final Project Dataset'!G194="Appliances","APPL","")))</f>
        <v>FURN</v>
      </c>
      <c r="K194" s="34" t="str">
        <f>IF('Final Project Dataset'!K194="North","N",IF('Final Project Dataset'!K194="South","S",IF('Final Project Dataset'!K194="East","E",IF('Final Project Dataset'!K194="West","W",IF('Final Project Dataset'!K194="Central","C","")))))</f>
        <v>S</v>
      </c>
      <c r="L194" s="34" t="str">
        <f>IF('Final Project Dataset'!L194="Premium","PREM",IF('Final Project Dataset'!L194="Standard","STND",IF('Final Project Dataset'!L194="Basic","BASC","")))</f>
        <v>STND</v>
      </c>
      <c r="M194" s="34" t="str">
        <f>IF('Final Project Dataset'!J194="Credit Card","CC",IF('Final Project Dataset'!J194="Debit Card","DC",IF('Final Project Dataset'!J194="PayPal","PP",IF('Final Project Dataset'!J194="Cash","CSH",""))))</f>
        <v>DC</v>
      </c>
    </row>
    <row r="195" spans="1:13">
      <c r="A195" s="34" t="str">
        <f>'Final Project Dataset'!D195</f>
        <v>Elizabeth Hall</v>
      </c>
      <c r="B195" s="34" t="str">
        <f t="shared" ref="B195:B251" si="24">LEFT(A195,FIND(" ",A195)-1)</f>
        <v>Elizabeth</v>
      </c>
      <c r="C195" s="34" t="str">
        <f t="shared" ref="C195:C251" si="25">MID(A195,FIND(" ",A195)+1,LEN(A195))</f>
        <v>Hall</v>
      </c>
      <c r="D195" s="34" t="str">
        <f t="shared" ref="D195:D251" si="26">LEFT(B195,1)&amp;"."&amp;LEFT(C195,1)&amp;"."</f>
        <v>E.H.</v>
      </c>
      <c r="E195" s="34" t="str">
        <f t="shared" ref="E195:E251" si="27">B195&amp;" "&amp;LEFT(C195,1)&amp;"."</f>
        <v>Elizabeth H.</v>
      </c>
      <c r="F195" s="34" t="str">
        <f t="shared" ref="F195:F251" si="28">UPPER(A195)</f>
        <v>ELIZABETH HALL</v>
      </c>
      <c r="G195" s="34" t="str">
        <f t="shared" ref="G195:G251" si="29">LOWER(A195)</f>
        <v>elizabeth hall</v>
      </c>
      <c r="H195" s="34" t="str">
        <f t="shared" ref="H195:H251" si="30">PROPER(A195)</f>
        <v>Elizabeth Hall</v>
      </c>
      <c r="I195" s="34">
        <f t="shared" ref="I195:I251" si="31">LEN(A195)</f>
        <v>14</v>
      </c>
      <c r="J195" s="34" t="str">
        <f>IF('Final Project Dataset'!G195="Electronics","ELEC",IF('Final Project Dataset'!G195="Furniture","FURN",IF('Final Project Dataset'!G195="Appliances","APPL","")))</f>
        <v>FURN</v>
      </c>
      <c r="K195" s="34" t="str">
        <f>IF('Final Project Dataset'!K195="North","N",IF('Final Project Dataset'!K195="South","S",IF('Final Project Dataset'!K195="East","E",IF('Final Project Dataset'!K195="West","W",IF('Final Project Dataset'!K195="Central","C","")))))</f>
        <v>C</v>
      </c>
      <c r="L195" s="34" t="str">
        <f>IF('Final Project Dataset'!L195="Premium","PREM",IF('Final Project Dataset'!L195="Standard","STND",IF('Final Project Dataset'!L195="Basic","BASC","")))</f>
        <v>BASC</v>
      </c>
      <c r="M195" s="34" t="str">
        <f>IF('Final Project Dataset'!J195="Credit Card","CC",IF('Final Project Dataset'!J195="Debit Card","DC",IF('Final Project Dataset'!J195="PayPal","PP",IF('Final Project Dataset'!J195="Cash","CSH",""))))</f>
        <v>DC</v>
      </c>
    </row>
    <row r="196" spans="1:13">
      <c r="A196" s="34" t="str">
        <f>'Final Project Dataset'!D196</f>
        <v>Robert Thomas</v>
      </c>
      <c r="B196" s="34" t="str">
        <f t="shared" si="24"/>
        <v>Robert</v>
      </c>
      <c r="C196" s="34" t="str">
        <f t="shared" si="25"/>
        <v>Thomas</v>
      </c>
      <c r="D196" s="34" t="str">
        <f t="shared" si="26"/>
        <v>R.T.</v>
      </c>
      <c r="E196" s="34" t="str">
        <f t="shared" si="27"/>
        <v>Robert T.</v>
      </c>
      <c r="F196" s="34" t="str">
        <f t="shared" si="28"/>
        <v>ROBERT THOMAS</v>
      </c>
      <c r="G196" s="34" t="str">
        <f t="shared" si="29"/>
        <v>robert thomas</v>
      </c>
      <c r="H196" s="34" t="str">
        <f t="shared" si="30"/>
        <v>Robert Thomas</v>
      </c>
      <c r="I196" s="34">
        <f t="shared" si="31"/>
        <v>13</v>
      </c>
      <c r="J196" s="34" t="str">
        <f>IF('Final Project Dataset'!G196="Electronics","ELEC",IF('Final Project Dataset'!G196="Furniture","FURN",IF('Final Project Dataset'!G196="Appliances","APPL","")))</f>
        <v>FURN</v>
      </c>
      <c r="K196" s="34" t="str">
        <f>IF('Final Project Dataset'!K196="North","N",IF('Final Project Dataset'!K196="South","S",IF('Final Project Dataset'!K196="East","E",IF('Final Project Dataset'!K196="West","W",IF('Final Project Dataset'!K196="Central","C","")))))</f>
        <v>E</v>
      </c>
      <c r="L196" s="34" t="str">
        <f>IF('Final Project Dataset'!L196="Premium","PREM",IF('Final Project Dataset'!L196="Standard","STND",IF('Final Project Dataset'!L196="Basic","BASC","")))</f>
        <v>STND</v>
      </c>
      <c r="M196" s="34" t="str">
        <f>IF('Final Project Dataset'!J196="Credit Card","CC",IF('Final Project Dataset'!J196="Debit Card","DC",IF('Final Project Dataset'!J196="PayPal","PP",IF('Final Project Dataset'!J196="Cash","CSH",""))))</f>
        <v>CC</v>
      </c>
    </row>
    <row r="197" spans="1:13">
      <c r="A197" s="34" t="str">
        <f>'Final Project Dataset'!D197</f>
        <v>Lisa Anderson</v>
      </c>
      <c r="B197" s="34" t="str">
        <f t="shared" si="24"/>
        <v>Lisa</v>
      </c>
      <c r="C197" s="34" t="str">
        <f t="shared" si="25"/>
        <v>Anderson</v>
      </c>
      <c r="D197" s="34" t="str">
        <f t="shared" si="26"/>
        <v>L.A.</v>
      </c>
      <c r="E197" s="34" t="str">
        <f t="shared" si="27"/>
        <v>Lisa A.</v>
      </c>
      <c r="F197" s="34" t="str">
        <f t="shared" si="28"/>
        <v>LISA ANDERSON</v>
      </c>
      <c r="G197" s="34" t="str">
        <f t="shared" si="29"/>
        <v>lisa anderson</v>
      </c>
      <c r="H197" s="34" t="str">
        <f t="shared" si="30"/>
        <v>Lisa Anderson</v>
      </c>
      <c r="I197" s="34">
        <f t="shared" si="31"/>
        <v>13</v>
      </c>
      <c r="J197" s="34" t="str">
        <f>IF('Final Project Dataset'!G197="Electronics","ELEC",IF('Final Project Dataset'!G197="Furniture","FURN",IF('Final Project Dataset'!G197="Appliances","APPL","")))</f>
        <v>APPL</v>
      </c>
      <c r="K197" s="34" t="str">
        <f>IF('Final Project Dataset'!K197="North","N",IF('Final Project Dataset'!K197="South","S",IF('Final Project Dataset'!K197="East","E",IF('Final Project Dataset'!K197="West","W",IF('Final Project Dataset'!K197="Central","C","")))))</f>
        <v>E</v>
      </c>
      <c r="L197" s="34" t="str">
        <f>IF('Final Project Dataset'!L197="Premium","PREM",IF('Final Project Dataset'!L197="Standard","STND",IF('Final Project Dataset'!L197="Basic","BASC","")))</f>
        <v>BASC</v>
      </c>
      <c r="M197" s="34" t="str">
        <f>IF('Final Project Dataset'!J197="Credit Card","CC",IF('Final Project Dataset'!J197="Debit Card","DC",IF('Final Project Dataset'!J197="PayPal","PP",IF('Final Project Dataset'!J197="Cash","CSH",""))))</f>
        <v>DC</v>
      </c>
    </row>
    <row r="198" spans="1:13">
      <c r="A198" s="34" t="str">
        <f>'Final Project Dataset'!D198</f>
        <v>Susan Green</v>
      </c>
      <c r="B198" s="34" t="str">
        <f t="shared" si="24"/>
        <v>Susan</v>
      </c>
      <c r="C198" s="34" t="str">
        <f t="shared" si="25"/>
        <v>Green</v>
      </c>
      <c r="D198" s="34" t="str">
        <f t="shared" si="26"/>
        <v>S.G.</v>
      </c>
      <c r="E198" s="34" t="str">
        <f t="shared" si="27"/>
        <v>Susan G.</v>
      </c>
      <c r="F198" s="34" t="str">
        <f t="shared" si="28"/>
        <v>SUSAN GREEN</v>
      </c>
      <c r="G198" s="34" t="str">
        <f t="shared" si="29"/>
        <v>susan green</v>
      </c>
      <c r="H198" s="34" t="str">
        <f t="shared" si="30"/>
        <v>Susan Green</v>
      </c>
      <c r="I198" s="34">
        <f t="shared" si="31"/>
        <v>11</v>
      </c>
      <c r="J198" s="34" t="str">
        <f>IF('Final Project Dataset'!G198="Electronics","ELEC",IF('Final Project Dataset'!G198="Furniture","FURN",IF('Final Project Dataset'!G198="Appliances","APPL","")))</f>
        <v>APPL</v>
      </c>
      <c r="K198" s="34" t="str">
        <f>IF('Final Project Dataset'!K198="North","N",IF('Final Project Dataset'!K198="South","S",IF('Final Project Dataset'!K198="East","E",IF('Final Project Dataset'!K198="West","W",IF('Final Project Dataset'!K198="Central","C","")))))</f>
        <v>E</v>
      </c>
      <c r="L198" s="34" t="str">
        <f>IF('Final Project Dataset'!L198="Premium","PREM",IF('Final Project Dataset'!L198="Standard","STND",IF('Final Project Dataset'!L198="Basic","BASC","")))</f>
        <v>STND</v>
      </c>
      <c r="M198" s="34" t="str">
        <f>IF('Final Project Dataset'!J198="Credit Card","CC",IF('Final Project Dataset'!J198="Debit Card","DC",IF('Final Project Dataset'!J198="PayPal","PP",IF('Final Project Dataset'!J198="Cash","CSH",""))))</f>
        <v>DC</v>
      </c>
    </row>
    <row r="199" spans="1:13">
      <c r="A199" s="34" t="str">
        <f>'Final Project Dataset'!D199</f>
        <v>Dorothy Nelson</v>
      </c>
      <c r="B199" s="34" t="str">
        <f t="shared" si="24"/>
        <v>Dorothy</v>
      </c>
      <c r="C199" s="34" t="str">
        <f t="shared" si="25"/>
        <v>Nelson</v>
      </c>
      <c r="D199" s="34" t="str">
        <f t="shared" si="26"/>
        <v>D.N.</v>
      </c>
      <c r="E199" s="34" t="str">
        <f t="shared" si="27"/>
        <v>Dorothy N.</v>
      </c>
      <c r="F199" s="34" t="str">
        <f t="shared" si="28"/>
        <v>DOROTHY NELSON</v>
      </c>
      <c r="G199" s="34" t="str">
        <f t="shared" si="29"/>
        <v>dorothy nelson</v>
      </c>
      <c r="H199" s="34" t="str">
        <f t="shared" si="30"/>
        <v>Dorothy Nelson</v>
      </c>
      <c r="I199" s="34">
        <f t="shared" si="31"/>
        <v>14</v>
      </c>
      <c r="J199" s="34" t="str">
        <f>IF('Final Project Dataset'!G199="Electronics","ELEC",IF('Final Project Dataset'!G199="Furniture","FURN",IF('Final Project Dataset'!G199="Appliances","APPL","")))</f>
        <v>ELEC</v>
      </c>
      <c r="K199" s="34" t="str">
        <f>IF('Final Project Dataset'!K199="North","N",IF('Final Project Dataset'!K199="South","S",IF('Final Project Dataset'!K199="East","E",IF('Final Project Dataset'!K199="West","W",IF('Final Project Dataset'!K199="Central","C","")))))</f>
        <v>C</v>
      </c>
      <c r="L199" s="34" t="str">
        <f>IF('Final Project Dataset'!L199="Premium","PREM",IF('Final Project Dataset'!L199="Standard","STND",IF('Final Project Dataset'!L199="Basic","BASC","")))</f>
        <v>PREM</v>
      </c>
      <c r="M199" s="34" t="str">
        <f>IF('Final Project Dataset'!J199="Credit Card","CC",IF('Final Project Dataset'!J199="Debit Card","DC",IF('Final Project Dataset'!J199="PayPal","PP",IF('Final Project Dataset'!J199="Cash","CSH",""))))</f>
        <v>DC</v>
      </c>
    </row>
    <row r="200" spans="1:13">
      <c r="A200" s="34" t="str">
        <f>'Final Project Dataset'!D200</f>
        <v>William White</v>
      </c>
      <c r="B200" s="34" t="str">
        <f t="shared" si="24"/>
        <v>William</v>
      </c>
      <c r="C200" s="34" t="str">
        <f t="shared" si="25"/>
        <v>White</v>
      </c>
      <c r="D200" s="34" t="str">
        <f t="shared" si="26"/>
        <v>W.W.</v>
      </c>
      <c r="E200" s="34" t="str">
        <f t="shared" si="27"/>
        <v>William W.</v>
      </c>
      <c r="F200" s="34" t="str">
        <f t="shared" si="28"/>
        <v>WILLIAM WHITE</v>
      </c>
      <c r="G200" s="34" t="str">
        <f t="shared" si="29"/>
        <v>william white</v>
      </c>
      <c r="H200" s="34" t="str">
        <f t="shared" si="30"/>
        <v>William White</v>
      </c>
      <c r="I200" s="34">
        <f t="shared" si="31"/>
        <v>13</v>
      </c>
      <c r="J200" s="34" t="str">
        <f>IF('Final Project Dataset'!G200="Electronics","ELEC",IF('Final Project Dataset'!G200="Furniture","FURN",IF('Final Project Dataset'!G200="Appliances","APPL","")))</f>
        <v>ELEC</v>
      </c>
      <c r="K200" s="34" t="str">
        <f>IF('Final Project Dataset'!K200="North","N",IF('Final Project Dataset'!K200="South","S",IF('Final Project Dataset'!K200="East","E",IF('Final Project Dataset'!K200="West","W",IF('Final Project Dataset'!K200="Central","C","")))))</f>
        <v>C</v>
      </c>
      <c r="L200" s="34" t="str">
        <f>IF('Final Project Dataset'!L200="Premium","PREM",IF('Final Project Dataset'!L200="Standard","STND",IF('Final Project Dataset'!L200="Basic","BASC","")))</f>
        <v>BASC</v>
      </c>
      <c r="M200" s="34" t="str">
        <f>IF('Final Project Dataset'!J200="Credit Card","CC",IF('Final Project Dataset'!J200="Debit Card","DC",IF('Final Project Dataset'!J200="PayPal","PP",IF('Final Project Dataset'!J200="Cash","CSH",""))))</f>
        <v>PP</v>
      </c>
    </row>
    <row r="201" spans="1:13">
      <c r="A201" s="34" t="str">
        <f>'Final Project Dataset'!D201</f>
        <v>Mark Carter</v>
      </c>
      <c r="B201" s="34" t="str">
        <f t="shared" si="24"/>
        <v>Mark</v>
      </c>
      <c r="C201" s="34" t="str">
        <f t="shared" si="25"/>
        <v>Carter</v>
      </c>
      <c r="D201" s="34" t="str">
        <f t="shared" si="26"/>
        <v>M.C.</v>
      </c>
      <c r="E201" s="34" t="str">
        <f t="shared" si="27"/>
        <v>Mark C.</v>
      </c>
      <c r="F201" s="34" t="str">
        <f t="shared" si="28"/>
        <v>MARK CARTER</v>
      </c>
      <c r="G201" s="34" t="str">
        <f t="shared" si="29"/>
        <v>mark carter</v>
      </c>
      <c r="H201" s="34" t="str">
        <f t="shared" si="30"/>
        <v>Mark Carter</v>
      </c>
      <c r="I201" s="34">
        <f t="shared" si="31"/>
        <v>11</v>
      </c>
      <c r="J201" s="34" t="str">
        <f>IF('Final Project Dataset'!G201="Electronics","ELEC",IF('Final Project Dataset'!G201="Furniture","FURN",IF('Final Project Dataset'!G201="Appliances","APPL","")))</f>
        <v>FURN</v>
      </c>
      <c r="K201" s="34" t="str">
        <f>IF('Final Project Dataset'!K201="North","N",IF('Final Project Dataset'!K201="South","S",IF('Final Project Dataset'!K201="East","E",IF('Final Project Dataset'!K201="West","W",IF('Final Project Dataset'!K201="Central","C","")))))</f>
        <v>W</v>
      </c>
      <c r="L201" s="34" t="str">
        <f>IF('Final Project Dataset'!L201="Premium","PREM",IF('Final Project Dataset'!L201="Standard","STND",IF('Final Project Dataset'!L201="Basic","BASC","")))</f>
        <v>STND</v>
      </c>
      <c r="M201" s="34" t="str">
        <f>IF('Final Project Dataset'!J201="Credit Card","CC",IF('Final Project Dataset'!J201="Debit Card","DC",IF('Final Project Dataset'!J201="PayPal","PP",IF('Final Project Dataset'!J201="Cash","CSH",""))))</f>
        <v>DC</v>
      </c>
    </row>
    <row r="202" spans="1:13">
      <c r="A202" s="34" t="str">
        <f>'Final Project Dataset'!D202</f>
        <v>Douglas Watson</v>
      </c>
      <c r="B202" s="34" t="str">
        <f t="shared" si="24"/>
        <v>Douglas</v>
      </c>
      <c r="C202" s="34" t="str">
        <f t="shared" si="25"/>
        <v>Watson</v>
      </c>
      <c r="D202" s="34" t="str">
        <f t="shared" si="26"/>
        <v>D.W.</v>
      </c>
      <c r="E202" s="34" t="str">
        <f t="shared" si="27"/>
        <v>Douglas W.</v>
      </c>
      <c r="F202" s="34" t="str">
        <f t="shared" si="28"/>
        <v>DOUGLAS WATSON</v>
      </c>
      <c r="G202" s="34" t="str">
        <f t="shared" si="29"/>
        <v>douglas watson</v>
      </c>
      <c r="H202" s="34" t="str">
        <f t="shared" si="30"/>
        <v>Douglas Watson</v>
      </c>
      <c r="I202" s="34">
        <f t="shared" si="31"/>
        <v>14</v>
      </c>
      <c r="J202" s="34" t="str">
        <f>IF('Final Project Dataset'!G202="Electronics","ELEC",IF('Final Project Dataset'!G202="Furniture","FURN",IF('Final Project Dataset'!G202="Appliances","APPL","")))</f>
        <v>ELEC</v>
      </c>
      <c r="K202" s="34" t="str">
        <f>IF('Final Project Dataset'!K202="North","N",IF('Final Project Dataset'!K202="South","S",IF('Final Project Dataset'!K202="East","E",IF('Final Project Dataset'!K202="West","W",IF('Final Project Dataset'!K202="Central","C","")))))</f>
        <v>C</v>
      </c>
      <c r="L202" s="34" t="str">
        <f>IF('Final Project Dataset'!L202="Premium","PREM",IF('Final Project Dataset'!L202="Standard","STND",IF('Final Project Dataset'!L202="Basic","BASC","")))</f>
        <v>PREM</v>
      </c>
      <c r="M202" s="34" t="str">
        <f>IF('Final Project Dataset'!J202="Credit Card","CC",IF('Final Project Dataset'!J202="Debit Card","DC",IF('Final Project Dataset'!J202="PayPal","PP",IF('Final Project Dataset'!J202="Cash","CSH",""))))</f>
        <v>DC</v>
      </c>
    </row>
    <row r="203" spans="1:13">
      <c r="A203" s="34" t="str">
        <f>'Final Project Dataset'!D203</f>
        <v>Karen Hill</v>
      </c>
      <c r="B203" s="34" t="str">
        <f t="shared" si="24"/>
        <v>Karen</v>
      </c>
      <c r="C203" s="34" t="str">
        <f t="shared" si="25"/>
        <v>Hill</v>
      </c>
      <c r="D203" s="34" t="str">
        <f t="shared" si="26"/>
        <v>K.H.</v>
      </c>
      <c r="E203" s="34" t="str">
        <f t="shared" si="27"/>
        <v>Karen H.</v>
      </c>
      <c r="F203" s="34" t="str">
        <f t="shared" si="28"/>
        <v>KAREN HILL</v>
      </c>
      <c r="G203" s="34" t="str">
        <f t="shared" si="29"/>
        <v>karen hill</v>
      </c>
      <c r="H203" s="34" t="str">
        <f t="shared" si="30"/>
        <v>Karen Hill</v>
      </c>
      <c r="I203" s="34">
        <f t="shared" si="31"/>
        <v>10</v>
      </c>
      <c r="J203" s="34" t="str">
        <f>IF('Final Project Dataset'!G203="Electronics","ELEC",IF('Final Project Dataset'!G203="Furniture","FURN",IF('Final Project Dataset'!G203="Appliances","APPL","")))</f>
        <v>ELEC</v>
      </c>
      <c r="K203" s="34" t="str">
        <f>IF('Final Project Dataset'!K203="North","N",IF('Final Project Dataset'!K203="South","S",IF('Final Project Dataset'!K203="East","E",IF('Final Project Dataset'!K203="West","W",IF('Final Project Dataset'!K203="Central","C","")))))</f>
        <v>W</v>
      </c>
      <c r="L203" s="34" t="str">
        <f>IF('Final Project Dataset'!L203="Premium","PREM",IF('Final Project Dataset'!L203="Standard","STND",IF('Final Project Dataset'!L203="Basic","BASC","")))</f>
        <v>PREM</v>
      </c>
      <c r="M203" s="34" t="str">
        <f>IF('Final Project Dataset'!J203="Credit Card","CC",IF('Final Project Dataset'!J203="Debit Card","DC",IF('Final Project Dataset'!J203="PayPal","PP",IF('Final Project Dataset'!J203="Cash","CSH",""))))</f>
        <v>DC</v>
      </c>
    </row>
    <row r="204" spans="1:13">
      <c r="A204" s="34" t="str">
        <f>'Final Project Dataset'!D204</f>
        <v>Edward Mitchell</v>
      </c>
      <c r="B204" s="34" t="str">
        <f t="shared" si="24"/>
        <v>Edward</v>
      </c>
      <c r="C204" s="34" t="str">
        <f t="shared" si="25"/>
        <v>Mitchell</v>
      </c>
      <c r="D204" s="34" t="str">
        <f t="shared" si="26"/>
        <v>E.M.</v>
      </c>
      <c r="E204" s="34" t="str">
        <f t="shared" si="27"/>
        <v>Edward M.</v>
      </c>
      <c r="F204" s="34" t="str">
        <f t="shared" si="28"/>
        <v>EDWARD MITCHELL</v>
      </c>
      <c r="G204" s="34" t="str">
        <f t="shared" si="29"/>
        <v>edward mitchell</v>
      </c>
      <c r="H204" s="34" t="str">
        <f t="shared" si="30"/>
        <v>Edward Mitchell</v>
      </c>
      <c r="I204" s="34">
        <f t="shared" si="31"/>
        <v>15</v>
      </c>
      <c r="J204" s="34" t="str">
        <f>IF('Final Project Dataset'!G204="Electronics","ELEC",IF('Final Project Dataset'!G204="Furniture","FURN",IF('Final Project Dataset'!G204="Appliances","APPL","")))</f>
        <v>ELEC</v>
      </c>
      <c r="K204" s="34" t="str">
        <f>IF('Final Project Dataset'!K204="North","N",IF('Final Project Dataset'!K204="South","S",IF('Final Project Dataset'!K204="East","E",IF('Final Project Dataset'!K204="West","W",IF('Final Project Dataset'!K204="Central","C","")))))</f>
        <v>S</v>
      </c>
      <c r="L204" s="34" t="str">
        <f>IF('Final Project Dataset'!L204="Premium","PREM",IF('Final Project Dataset'!L204="Standard","STND",IF('Final Project Dataset'!L204="Basic","BASC","")))</f>
        <v>BASC</v>
      </c>
      <c r="M204" s="34" t="str">
        <f>IF('Final Project Dataset'!J204="Credit Card","CC",IF('Final Project Dataset'!J204="Debit Card","DC",IF('Final Project Dataset'!J204="PayPal","PP",IF('Final Project Dataset'!J204="Cash","CSH",""))))</f>
        <v>DC</v>
      </c>
    </row>
    <row r="205" spans="1:13">
      <c r="A205" s="34" t="str">
        <f>'Final Project Dataset'!D205</f>
        <v>Michael Brown</v>
      </c>
      <c r="B205" s="34" t="str">
        <f t="shared" si="24"/>
        <v>Michael</v>
      </c>
      <c r="C205" s="34" t="str">
        <f t="shared" si="25"/>
        <v>Brown</v>
      </c>
      <c r="D205" s="34" t="str">
        <f t="shared" si="26"/>
        <v>M.B.</v>
      </c>
      <c r="E205" s="34" t="str">
        <f t="shared" si="27"/>
        <v>Michael B.</v>
      </c>
      <c r="F205" s="34" t="str">
        <f t="shared" si="28"/>
        <v>MICHAEL BROWN</v>
      </c>
      <c r="G205" s="34" t="str">
        <f t="shared" si="29"/>
        <v>michael brown</v>
      </c>
      <c r="H205" s="34" t="str">
        <f t="shared" si="30"/>
        <v>Michael Brown</v>
      </c>
      <c r="I205" s="34">
        <f t="shared" si="31"/>
        <v>13</v>
      </c>
      <c r="J205" s="34" t="str">
        <f>IF('Final Project Dataset'!G205="Electronics","ELEC",IF('Final Project Dataset'!G205="Furniture","FURN",IF('Final Project Dataset'!G205="Appliances","APPL","")))</f>
        <v>ELEC</v>
      </c>
      <c r="K205" s="34" t="str">
        <f>IF('Final Project Dataset'!K205="North","N",IF('Final Project Dataset'!K205="South","S",IF('Final Project Dataset'!K205="East","E",IF('Final Project Dataset'!K205="West","W",IF('Final Project Dataset'!K205="Central","C","")))))</f>
        <v>S</v>
      </c>
      <c r="L205" s="34" t="str">
        <f>IF('Final Project Dataset'!L205="Premium","PREM",IF('Final Project Dataset'!L205="Standard","STND",IF('Final Project Dataset'!L205="Basic","BASC","")))</f>
        <v>PREM</v>
      </c>
      <c r="M205" s="34" t="str">
        <f>IF('Final Project Dataset'!J205="Credit Card","CC",IF('Final Project Dataset'!J205="Debit Card","DC",IF('Final Project Dataset'!J205="PayPal","PP",IF('Final Project Dataset'!J205="Cash","CSH",""))))</f>
        <v>DC</v>
      </c>
    </row>
    <row r="206" spans="1:13">
      <c r="A206" s="34" t="str">
        <f>'Final Project Dataset'!D206</f>
        <v>Arthur Edwards</v>
      </c>
      <c r="B206" s="34" t="str">
        <f t="shared" si="24"/>
        <v>Arthur</v>
      </c>
      <c r="C206" s="34" t="str">
        <f t="shared" si="25"/>
        <v>Edwards</v>
      </c>
      <c r="D206" s="34" t="str">
        <f t="shared" si="26"/>
        <v>A.E.</v>
      </c>
      <c r="E206" s="34" t="str">
        <f t="shared" si="27"/>
        <v>Arthur E.</v>
      </c>
      <c r="F206" s="34" t="str">
        <f t="shared" si="28"/>
        <v>ARTHUR EDWARDS</v>
      </c>
      <c r="G206" s="34" t="str">
        <f t="shared" si="29"/>
        <v>arthur edwards</v>
      </c>
      <c r="H206" s="34" t="str">
        <f t="shared" si="30"/>
        <v>Arthur Edwards</v>
      </c>
      <c r="I206" s="34">
        <f t="shared" si="31"/>
        <v>14</v>
      </c>
      <c r="J206" s="34" t="str">
        <f>IF('Final Project Dataset'!G206="Electronics","ELEC",IF('Final Project Dataset'!G206="Furniture","FURN",IF('Final Project Dataset'!G206="Appliances","APPL","")))</f>
        <v>APPL</v>
      </c>
      <c r="K206" s="34" t="str">
        <f>IF('Final Project Dataset'!K206="North","N",IF('Final Project Dataset'!K206="South","S",IF('Final Project Dataset'!K206="East","E",IF('Final Project Dataset'!K206="West","W",IF('Final Project Dataset'!K206="Central","C","")))))</f>
        <v>C</v>
      </c>
      <c r="L206" s="34" t="str">
        <f>IF('Final Project Dataset'!L206="Premium","PREM",IF('Final Project Dataset'!L206="Standard","STND",IF('Final Project Dataset'!L206="Basic","BASC","")))</f>
        <v>STND</v>
      </c>
      <c r="M206" s="34" t="str">
        <f>IF('Final Project Dataset'!J206="Credit Card","CC",IF('Final Project Dataset'!J206="Debit Card","DC",IF('Final Project Dataset'!J206="PayPal","PP",IF('Final Project Dataset'!J206="Cash","CSH",""))))</f>
        <v>DC</v>
      </c>
    </row>
    <row r="207" spans="1:13">
      <c r="A207" s="34" t="str">
        <f>'Final Project Dataset'!D207</f>
        <v>Ruth Brooks</v>
      </c>
      <c r="B207" s="34" t="str">
        <f t="shared" si="24"/>
        <v>Ruth</v>
      </c>
      <c r="C207" s="34" t="str">
        <f t="shared" si="25"/>
        <v>Brooks</v>
      </c>
      <c r="D207" s="34" t="str">
        <f t="shared" si="26"/>
        <v>R.B.</v>
      </c>
      <c r="E207" s="34" t="str">
        <f t="shared" si="27"/>
        <v>Ruth B.</v>
      </c>
      <c r="F207" s="34" t="str">
        <f t="shared" si="28"/>
        <v>RUTH BROOKS</v>
      </c>
      <c r="G207" s="34" t="str">
        <f t="shared" si="29"/>
        <v>ruth brooks</v>
      </c>
      <c r="H207" s="34" t="str">
        <f t="shared" si="30"/>
        <v>Ruth Brooks</v>
      </c>
      <c r="I207" s="34">
        <f t="shared" si="31"/>
        <v>11</v>
      </c>
      <c r="J207" s="34" t="str">
        <f>IF('Final Project Dataset'!G207="Electronics","ELEC",IF('Final Project Dataset'!G207="Furniture","FURN",IF('Final Project Dataset'!G207="Appliances","APPL","")))</f>
        <v>FURN</v>
      </c>
      <c r="K207" s="34" t="str">
        <f>IF('Final Project Dataset'!K207="North","N",IF('Final Project Dataset'!K207="South","S",IF('Final Project Dataset'!K207="East","E",IF('Final Project Dataset'!K207="West","W",IF('Final Project Dataset'!K207="Central","C","")))))</f>
        <v>N</v>
      </c>
      <c r="L207" s="34" t="str">
        <f>IF('Final Project Dataset'!L207="Premium","PREM",IF('Final Project Dataset'!L207="Standard","STND",IF('Final Project Dataset'!L207="Basic","BASC","")))</f>
        <v>PREM</v>
      </c>
      <c r="M207" s="34" t="str">
        <f>IF('Final Project Dataset'!J207="Credit Card","CC",IF('Final Project Dataset'!J207="Debit Card","DC",IF('Final Project Dataset'!J207="PayPal","PP",IF('Final Project Dataset'!J207="Cash","CSH",""))))</f>
        <v>DC</v>
      </c>
    </row>
    <row r="208" spans="1:13">
      <c r="A208" s="34" t="str">
        <f>'Final Project Dataset'!D208</f>
        <v>Virginia Sanders</v>
      </c>
      <c r="B208" s="34" t="str">
        <f t="shared" si="24"/>
        <v>Virginia</v>
      </c>
      <c r="C208" s="34" t="str">
        <f t="shared" si="25"/>
        <v>Sanders</v>
      </c>
      <c r="D208" s="34" t="str">
        <f t="shared" si="26"/>
        <v>V.S.</v>
      </c>
      <c r="E208" s="34" t="str">
        <f t="shared" si="27"/>
        <v>Virginia S.</v>
      </c>
      <c r="F208" s="34" t="str">
        <f t="shared" si="28"/>
        <v>VIRGINIA SANDERS</v>
      </c>
      <c r="G208" s="34" t="str">
        <f t="shared" si="29"/>
        <v>virginia sanders</v>
      </c>
      <c r="H208" s="34" t="str">
        <f t="shared" si="30"/>
        <v>Virginia Sanders</v>
      </c>
      <c r="I208" s="34">
        <f t="shared" si="31"/>
        <v>16</v>
      </c>
      <c r="J208" s="34" t="str">
        <f>IF('Final Project Dataset'!G208="Electronics","ELEC",IF('Final Project Dataset'!G208="Furniture","FURN",IF('Final Project Dataset'!G208="Appliances","APPL","")))</f>
        <v>FURN</v>
      </c>
      <c r="K208" s="34" t="str">
        <f>IF('Final Project Dataset'!K208="North","N",IF('Final Project Dataset'!K208="South","S",IF('Final Project Dataset'!K208="East","E",IF('Final Project Dataset'!K208="West","W",IF('Final Project Dataset'!K208="Central","C","")))))</f>
        <v>S</v>
      </c>
      <c r="L208" s="34" t="str">
        <f>IF('Final Project Dataset'!L208="Premium","PREM",IF('Final Project Dataset'!L208="Standard","STND",IF('Final Project Dataset'!L208="Basic","BASC","")))</f>
        <v>BASC</v>
      </c>
      <c r="M208" s="34" t="str">
        <f>IF('Final Project Dataset'!J208="Credit Card","CC",IF('Final Project Dataset'!J208="Debit Card","DC",IF('Final Project Dataset'!J208="PayPal","PP",IF('Final Project Dataset'!J208="Cash","CSH",""))))</f>
        <v>CC</v>
      </c>
    </row>
    <row r="209" spans="1:13">
      <c r="A209" s="34" t="str">
        <f>'Final Project Dataset'!D209</f>
        <v>Sharon Butler</v>
      </c>
      <c r="B209" s="34" t="str">
        <f t="shared" si="24"/>
        <v>Sharon</v>
      </c>
      <c r="C209" s="34" t="str">
        <f t="shared" si="25"/>
        <v>Butler</v>
      </c>
      <c r="D209" s="34" t="str">
        <f t="shared" si="26"/>
        <v>S.B.</v>
      </c>
      <c r="E209" s="34" t="str">
        <f t="shared" si="27"/>
        <v>Sharon B.</v>
      </c>
      <c r="F209" s="34" t="str">
        <f t="shared" si="28"/>
        <v>SHARON BUTLER</v>
      </c>
      <c r="G209" s="34" t="str">
        <f t="shared" si="29"/>
        <v>sharon butler</v>
      </c>
      <c r="H209" s="34" t="str">
        <f t="shared" si="30"/>
        <v>Sharon Butler</v>
      </c>
      <c r="I209" s="34">
        <f t="shared" si="31"/>
        <v>13</v>
      </c>
      <c r="J209" s="34" t="str">
        <f>IF('Final Project Dataset'!G209="Electronics","ELEC",IF('Final Project Dataset'!G209="Furniture","FURN",IF('Final Project Dataset'!G209="Appliances","APPL","")))</f>
        <v>APPL</v>
      </c>
      <c r="K209" s="34" t="str">
        <f>IF('Final Project Dataset'!K209="North","N",IF('Final Project Dataset'!K209="South","S",IF('Final Project Dataset'!K209="East","E",IF('Final Project Dataset'!K209="West","W",IF('Final Project Dataset'!K209="Central","C","")))))</f>
        <v>C</v>
      </c>
      <c r="L209" s="34" t="str">
        <f>IF('Final Project Dataset'!L209="Premium","PREM",IF('Final Project Dataset'!L209="Standard","STND",IF('Final Project Dataset'!L209="Basic","BASC","")))</f>
        <v>STND</v>
      </c>
      <c r="M209" s="34" t="str">
        <f>IF('Final Project Dataset'!J209="Credit Card","CC",IF('Final Project Dataset'!J209="Debit Card","DC",IF('Final Project Dataset'!J209="PayPal","PP",IF('Final Project Dataset'!J209="Cash","CSH",""))))</f>
        <v>DC</v>
      </c>
    </row>
    <row r="210" spans="1:13">
      <c r="A210" s="34" t="str">
        <f>'Final Project Dataset'!D210</f>
        <v>Nancy Collins</v>
      </c>
      <c r="B210" s="34" t="str">
        <f t="shared" si="24"/>
        <v>Nancy</v>
      </c>
      <c r="C210" s="34" t="str">
        <f t="shared" si="25"/>
        <v>Collins</v>
      </c>
      <c r="D210" s="34" t="str">
        <f t="shared" si="26"/>
        <v>N.C.</v>
      </c>
      <c r="E210" s="34" t="str">
        <f t="shared" si="27"/>
        <v>Nancy C.</v>
      </c>
      <c r="F210" s="34" t="str">
        <f t="shared" si="28"/>
        <v>NANCY COLLINS</v>
      </c>
      <c r="G210" s="34" t="str">
        <f t="shared" si="29"/>
        <v>nancy collins</v>
      </c>
      <c r="H210" s="34" t="str">
        <f t="shared" si="30"/>
        <v>Nancy Collins</v>
      </c>
      <c r="I210" s="34">
        <f t="shared" si="31"/>
        <v>13</v>
      </c>
      <c r="J210" s="34" t="str">
        <f>IF('Final Project Dataset'!G210="Electronics","ELEC",IF('Final Project Dataset'!G210="Furniture","FURN",IF('Final Project Dataset'!G210="Appliances","APPL","")))</f>
        <v>APPL</v>
      </c>
      <c r="K210" s="34" t="str">
        <f>IF('Final Project Dataset'!K210="North","N",IF('Final Project Dataset'!K210="South","S",IF('Final Project Dataset'!K210="East","E",IF('Final Project Dataset'!K210="West","W",IF('Final Project Dataset'!K210="Central","C","")))))</f>
        <v>E</v>
      </c>
      <c r="L210" s="34" t="str">
        <f>IF('Final Project Dataset'!L210="Premium","PREM",IF('Final Project Dataset'!L210="Standard","STND",IF('Final Project Dataset'!L210="Basic","BASC","")))</f>
        <v>PREM</v>
      </c>
      <c r="M210" s="34" t="str">
        <f>IF('Final Project Dataset'!J210="Credit Card","CC",IF('Final Project Dataset'!J210="Debit Card","DC",IF('Final Project Dataset'!J210="PayPal","PP",IF('Final Project Dataset'!J210="Cash","CSH",""))))</f>
        <v>CSH</v>
      </c>
    </row>
    <row r="211" spans="1:13">
      <c r="A211" s="34" t="str">
        <f>'Final Project Dataset'!D211</f>
        <v>Kevin Scott</v>
      </c>
      <c r="B211" s="34" t="str">
        <f t="shared" si="24"/>
        <v>Kevin</v>
      </c>
      <c r="C211" s="34" t="str">
        <f t="shared" si="25"/>
        <v>Scott</v>
      </c>
      <c r="D211" s="34" t="str">
        <f t="shared" si="26"/>
        <v>K.S.</v>
      </c>
      <c r="E211" s="34" t="str">
        <f t="shared" si="27"/>
        <v>Kevin S.</v>
      </c>
      <c r="F211" s="34" t="str">
        <f t="shared" si="28"/>
        <v>KEVIN SCOTT</v>
      </c>
      <c r="G211" s="34" t="str">
        <f t="shared" si="29"/>
        <v>kevin scott</v>
      </c>
      <c r="H211" s="34" t="str">
        <f t="shared" si="30"/>
        <v>Kevin Scott</v>
      </c>
      <c r="I211" s="34">
        <f t="shared" si="31"/>
        <v>11</v>
      </c>
      <c r="J211" s="34" t="str">
        <f>IF('Final Project Dataset'!G211="Electronics","ELEC",IF('Final Project Dataset'!G211="Furniture","FURN",IF('Final Project Dataset'!G211="Appliances","APPL","")))</f>
        <v>FURN</v>
      </c>
      <c r="K211" s="34" t="str">
        <f>IF('Final Project Dataset'!K211="North","N",IF('Final Project Dataset'!K211="South","S",IF('Final Project Dataset'!K211="East","E",IF('Final Project Dataset'!K211="West","W",IF('Final Project Dataset'!K211="Central","C","")))))</f>
        <v>C</v>
      </c>
      <c r="L211" s="34" t="str">
        <f>IF('Final Project Dataset'!L211="Premium","PREM",IF('Final Project Dataset'!L211="Standard","STND",IF('Final Project Dataset'!L211="Basic","BASC","")))</f>
        <v>BASC</v>
      </c>
      <c r="M211" s="34" t="str">
        <f>IF('Final Project Dataset'!J211="Credit Card","CC",IF('Final Project Dataset'!J211="Debit Card","DC",IF('Final Project Dataset'!J211="PayPal","PP",IF('Final Project Dataset'!J211="Cash","CSH",""))))</f>
        <v>CSH</v>
      </c>
    </row>
    <row r="212" spans="1:13">
      <c r="A212" s="34" t="str">
        <f>'Final Project Dataset'!D212</f>
        <v>Paul Baker</v>
      </c>
      <c r="B212" s="34" t="str">
        <f t="shared" si="24"/>
        <v>Paul</v>
      </c>
      <c r="C212" s="34" t="str">
        <f t="shared" si="25"/>
        <v>Baker</v>
      </c>
      <c r="D212" s="34" t="str">
        <f t="shared" si="26"/>
        <v>P.B.</v>
      </c>
      <c r="E212" s="34" t="str">
        <f t="shared" si="27"/>
        <v>Paul B.</v>
      </c>
      <c r="F212" s="34" t="str">
        <f t="shared" si="28"/>
        <v>PAUL BAKER</v>
      </c>
      <c r="G212" s="34" t="str">
        <f t="shared" si="29"/>
        <v>paul baker</v>
      </c>
      <c r="H212" s="34" t="str">
        <f t="shared" si="30"/>
        <v>Paul Baker</v>
      </c>
      <c r="I212" s="34">
        <f t="shared" si="31"/>
        <v>10</v>
      </c>
      <c r="J212" s="34" t="str">
        <f>IF('Final Project Dataset'!G212="Electronics","ELEC",IF('Final Project Dataset'!G212="Furniture","FURN",IF('Final Project Dataset'!G212="Appliances","APPL","")))</f>
        <v>ELEC</v>
      </c>
      <c r="K212" s="34" t="str">
        <f>IF('Final Project Dataset'!K212="North","N",IF('Final Project Dataset'!K212="South","S",IF('Final Project Dataset'!K212="East","E",IF('Final Project Dataset'!K212="West","W",IF('Final Project Dataset'!K212="Central","C","")))))</f>
        <v>C</v>
      </c>
      <c r="L212" s="34" t="str">
        <f>IF('Final Project Dataset'!L212="Premium","PREM",IF('Final Project Dataset'!L212="Standard","STND",IF('Final Project Dataset'!L212="Basic","BASC","")))</f>
        <v>BASC</v>
      </c>
      <c r="M212" s="34" t="str">
        <f>IF('Final Project Dataset'!J212="Credit Card","CC",IF('Final Project Dataset'!J212="Debit Card","DC",IF('Final Project Dataset'!J212="PayPal","PP",IF('Final Project Dataset'!J212="Cash","CSH",""))))</f>
        <v>PP</v>
      </c>
    </row>
    <row r="213" spans="1:13">
      <c r="A213" s="34" t="str">
        <f>'Final Project Dataset'!D213</f>
        <v>Richard Lee</v>
      </c>
      <c r="B213" s="34" t="str">
        <f t="shared" si="24"/>
        <v>Richard</v>
      </c>
      <c r="C213" s="34" t="str">
        <f t="shared" si="25"/>
        <v>Lee</v>
      </c>
      <c r="D213" s="34" t="str">
        <f t="shared" si="26"/>
        <v>R.L.</v>
      </c>
      <c r="E213" s="34" t="str">
        <f t="shared" si="27"/>
        <v>Richard L.</v>
      </c>
      <c r="F213" s="34" t="str">
        <f t="shared" si="28"/>
        <v>RICHARD LEE</v>
      </c>
      <c r="G213" s="34" t="str">
        <f t="shared" si="29"/>
        <v>richard lee</v>
      </c>
      <c r="H213" s="34" t="str">
        <f t="shared" si="30"/>
        <v>Richard Lee</v>
      </c>
      <c r="I213" s="34">
        <f t="shared" si="31"/>
        <v>11</v>
      </c>
      <c r="J213" s="34" t="str">
        <f>IF('Final Project Dataset'!G213="Electronics","ELEC",IF('Final Project Dataset'!G213="Furniture","FURN",IF('Final Project Dataset'!G213="Appliances","APPL","")))</f>
        <v>FURN</v>
      </c>
      <c r="K213" s="34" t="str">
        <f>IF('Final Project Dataset'!K213="North","N",IF('Final Project Dataset'!K213="South","S",IF('Final Project Dataset'!K213="East","E",IF('Final Project Dataset'!K213="West","W",IF('Final Project Dataset'!K213="Central","C","")))))</f>
        <v>S</v>
      </c>
      <c r="L213" s="34" t="str">
        <f>IF('Final Project Dataset'!L213="Premium","PREM",IF('Final Project Dataset'!L213="Standard","STND",IF('Final Project Dataset'!L213="Basic","BASC","")))</f>
        <v>PREM</v>
      </c>
      <c r="M213" s="34" t="str">
        <f>IF('Final Project Dataset'!J213="Credit Card","CC",IF('Final Project Dataset'!J213="Debit Card","DC",IF('Final Project Dataset'!J213="PayPal","PP",IF('Final Project Dataset'!J213="Cash","CSH",""))))</f>
        <v>CSH</v>
      </c>
    </row>
    <row r="214" spans="1:13">
      <c r="A214" s="34" t="str">
        <f>'Final Project Dataset'!D214</f>
        <v>Edward Mitchell</v>
      </c>
      <c r="B214" s="34" t="str">
        <f t="shared" si="24"/>
        <v>Edward</v>
      </c>
      <c r="C214" s="34" t="str">
        <f t="shared" si="25"/>
        <v>Mitchell</v>
      </c>
      <c r="D214" s="34" t="str">
        <f t="shared" si="26"/>
        <v>E.M.</v>
      </c>
      <c r="E214" s="34" t="str">
        <f t="shared" si="27"/>
        <v>Edward M.</v>
      </c>
      <c r="F214" s="34" t="str">
        <f t="shared" si="28"/>
        <v>EDWARD MITCHELL</v>
      </c>
      <c r="G214" s="34" t="str">
        <f t="shared" si="29"/>
        <v>edward mitchell</v>
      </c>
      <c r="H214" s="34" t="str">
        <f t="shared" si="30"/>
        <v>Edward Mitchell</v>
      </c>
      <c r="I214" s="34">
        <f t="shared" si="31"/>
        <v>15</v>
      </c>
      <c r="J214" s="34" t="str">
        <f>IF('Final Project Dataset'!G214="Electronics","ELEC",IF('Final Project Dataset'!G214="Furniture","FURN",IF('Final Project Dataset'!G214="Appliances","APPL","")))</f>
        <v>ELEC</v>
      </c>
      <c r="K214" s="34" t="str">
        <f>IF('Final Project Dataset'!K214="North","N",IF('Final Project Dataset'!K214="South","S",IF('Final Project Dataset'!K214="East","E",IF('Final Project Dataset'!K214="West","W",IF('Final Project Dataset'!K214="Central","C","")))))</f>
        <v>S</v>
      </c>
      <c r="L214" s="34" t="str">
        <f>IF('Final Project Dataset'!L214="Premium","PREM",IF('Final Project Dataset'!L214="Standard","STND",IF('Final Project Dataset'!L214="Basic","BASC","")))</f>
        <v>PREM</v>
      </c>
      <c r="M214" s="34" t="str">
        <f>IF('Final Project Dataset'!J214="Credit Card","CC",IF('Final Project Dataset'!J214="Debit Card","DC",IF('Final Project Dataset'!J214="PayPal","PP",IF('Final Project Dataset'!J214="Cash","CSH",""))))</f>
        <v>PP</v>
      </c>
    </row>
    <row r="215" spans="1:13">
      <c r="A215" s="34" t="str">
        <f>'Final Project Dataset'!D215</f>
        <v>Michael Brown</v>
      </c>
      <c r="B215" s="34" t="str">
        <f t="shared" si="24"/>
        <v>Michael</v>
      </c>
      <c r="C215" s="34" t="str">
        <f t="shared" si="25"/>
        <v>Brown</v>
      </c>
      <c r="D215" s="34" t="str">
        <f t="shared" si="26"/>
        <v>M.B.</v>
      </c>
      <c r="E215" s="34" t="str">
        <f t="shared" si="27"/>
        <v>Michael B.</v>
      </c>
      <c r="F215" s="34" t="str">
        <f t="shared" si="28"/>
        <v>MICHAEL BROWN</v>
      </c>
      <c r="G215" s="34" t="str">
        <f t="shared" si="29"/>
        <v>michael brown</v>
      </c>
      <c r="H215" s="34" t="str">
        <f t="shared" si="30"/>
        <v>Michael Brown</v>
      </c>
      <c r="I215" s="34">
        <f t="shared" si="31"/>
        <v>13</v>
      </c>
      <c r="J215" s="34" t="str">
        <f>IF('Final Project Dataset'!G215="Electronics","ELEC",IF('Final Project Dataset'!G215="Furniture","FURN",IF('Final Project Dataset'!G215="Appliances","APPL","")))</f>
        <v>FURN</v>
      </c>
      <c r="K215" s="34" t="str">
        <f>IF('Final Project Dataset'!K215="North","N",IF('Final Project Dataset'!K215="South","S",IF('Final Project Dataset'!K215="East","E",IF('Final Project Dataset'!K215="West","W",IF('Final Project Dataset'!K215="Central","C","")))))</f>
        <v>C</v>
      </c>
      <c r="L215" s="34" t="str">
        <f>IF('Final Project Dataset'!L215="Premium","PREM",IF('Final Project Dataset'!L215="Standard","STND",IF('Final Project Dataset'!L215="Basic","BASC","")))</f>
        <v>STND</v>
      </c>
      <c r="M215" s="34" t="str">
        <f>IF('Final Project Dataset'!J215="Credit Card","CC",IF('Final Project Dataset'!J215="Debit Card","DC",IF('Final Project Dataset'!J215="PayPal","PP",IF('Final Project Dataset'!J215="Cash","CSH",""))))</f>
        <v>PP</v>
      </c>
    </row>
    <row r="216" spans="1:13">
      <c r="A216" s="34" t="str">
        <f>'Final Project Dataset'!D216</f>
        <v>Barbara Young</v>
      </c>
      <c r="B216" s="34" t="str">
        <f t="shared" si="24"/>
        <v>Barbara</v>
      </c>
      <c r="C216" s="34" t="str">
        <f t="shared" si="25"/>
        <v>Young</v>
      </c>
      <c r="D216" s="34" t="str">
        <f t="shared" si="26"/>
        <v>B.Y.</v>
      </c>
      <c r="E216" s="34" t="str">
        <f t="shared" si="27"/>
        <v>Barbara Y.</v>
      </c>
      <c r="F216" s="34" t="str">
        <f t="shared" si="28"/>
        <v>BARBARA YOUNG</v>
      </c>
      <c r="G216" s="34" t="str">
        <f t="shared" si="29"/>
        <v>barbara young</v>
      </c>
      <c r="H216" s="34" t="str">
        <f t="shared" si="30"/>
        <v>Barbara Young</v>
      </c>
      <c r="I216" s="34">
        <f t="shared" si="31"/>
        <v>13</v>
      </c>
      <c r="J216" s="34" t="str">
        <f>IF('Final Project Dataset'!G216="Electronics","ELEC",IF('Final Project Dataset'!G216="Furniture","FURN",IF('Final Project Dataset'!G216="Appliances","APPL","")))</f>
        <v>ELEC</v>
      </c>
      <c r="K216" s="34" t="str">
        <f>IF('Final Project Dataset'!K216="North","N",IF('Final Project Dataset'!K216="South","S",IF('Final Project Dataset'!K216="East","E",IF('Final Project Dataset'!K216="West","W",IF('Final Project Dataset'!K216="Central","C","")))))</f>
        <v>E</v>
      </c>
      <c r="L216" s="34" t="str">
        <f>IF('Final Project Dataset'!L216="Premium","PREM",IF('Final Project Dataset'!L216="Standard","STND",IF('Final Project Dataset'!L216="Basic","BASC","")))</f>
        <v>STND</v>
      </c>
      <c r="M216" s="34" t="str">
        <f>IF('Final Project Dataset'!J216="Credit Card","CC",IF('Final Project Dataset'!J216="Debit Card","DC",IF('Final Project Dataset'!J216="PayPal","PP",IF('Final Project Dataset'!J216="Cash","CSH",""))))</f>
        <v>CSH</v>
      </c>
    </row>
    <row r="217" spans="1:13">
      <c r="A217" s="34" t="str">
        <f>'Final Project Dataset'!D217</f>
        <v>Frank Torres</v>
      </c>
      <c r="B217" s="34" t="str">
        <f t="shared" si="24"/>
        <v>Frank</v>
      </c>
      <c r="C217" s="34" t="str">
        <f t="shared" si="25"/>
        <v>Torres</v>
      </c>
      <c r="D217" s="34" t="str">
        <f t="shared" si="26"/>
        <v>F.T.</v>
      </c>
      <c r="E217" s="34" t="str">
        <f t="shared" si="27"/>
        <v>Frank T.</v>
      </c>
      <c r="F217" s="34" t="str">
        <f t="shared" si="28"/>
        <v>FRANK TORRES</v>
      </c>
      <c r="G217" s="34" t="str">
        <f t="shared" si="29"/>
        <v>frank torres</v>
      </c>
      <c r="H217" s="34" t="str">
        <f t="shared" si="30"/>
        <v>Frank Torres</v>
      </c>
      <c r="I217" s="34">
        <f t="shared" si="31"/>
        <v>12</v>
      </c>
      <c r="J217" s="34" t="str">
        <f>IF('Final Project Dataset'!G217="Electronics","ELEC",IF('Final Project Dataset'!G217="Furniture","FURN",IF('Final Project Dataset'!G217="Appliances","APPL","")))</f>
        <v>FURN</v>
      </c>
      <c r="K217" s="34" t="str">
        <f>IF('Final Project Dataset'!K217="North","N",IF('Final Project Dataset'!K217="South","S",IF('Final Project Dataset'!K217="East","E",IF('Final Project Dataset'!K217="West","W",IF('Final Project Dataset'!K217="Central","C","")))))</f>
        <v>W</v>
      </c>
      <c r="L217" s="34" t="str">
        <f>IF('Final Project Dataset'!L217="Premium","PREM",IF('Final Project Dataset'!L217="Standard","STND",IF('Final Project Dataset'!L217="Basic","BASC","")))</f>
        <v>PREM</v>
      </c>
      <c r="M217" s="34" t="str">
        <f>IF('Final Project Dataset'!J217="Credit Card","CC",IF('Final Project Dataset'!J217="Debit Card","DC",IF('Final Project Dataset'!J217="PayPal","PP",IF('Final Project Dataset'!J217="Cash","CSH",""))))</f>
        <v>CSH</v>
      </c>
    </row>
    <row r="218" spans="1:13">
      <c r="A218" s="34" t="str">
        <f>'Final Project Dataset'!D218</f>
        <v>Charles Allen</v>
      </c>
      <c r="B218" s="34" t="str">
        <f t="shared" si="24"/>
        <v>Charles</v>
      </c>
      <c r="C218" s="34" t="str">
        <f t="shared" si="25"/>
        <v>Allen</v>
      </c>
      <c r="D218" s="34" t="str">
        <f t="shared" si="26"/>
        <v>C.A.</v>
      </c>
      <c r="E218" s="34" t="str">
        <f t="shared" si="27"/>
        <v>Charles A.</v>
      </c>
      <c r="F218" s="34" t="str">
        <f t="shared" si="28"/>
        <v>CHARLES ALLEN</v>
      </c>
      <c r="G218" s="34" t="str">
        <f t="shared" si="29"/>
        <v>charles allen</v>
      </c>
      <c r="H218" s="34" t="str">
        <f t="shared" si="30"/>
        <v>Charles Allen</v>
      </c>
      <c r="I218" s="34">
        <f t="shared" si="31"/>
        <v>13</v>
      </c>
      <c r="J218" s="34" t="str">
        <f>IF('Final Project Dataset'!G218="Electronics","ELEC",IF('Final Project Dataset'!G218="Furniture","FURN",IF('Final Project Dataset'!G218="Appliances","APPL","")))</f>
        <v>FURN</v>
      </c>
      <c r="K218" s="34" t="str">
        <f>IF('Final Project Dataset'!K218="North","N",IF('Final Project Dataset'!K218="South","S",IF('Final Project Dataset'!K218="East","E",IF('Final Project Dataset'!K218="West","W",IF('Final Project Dataset'!K218="Central","C","")))))</f>
        <v>W</v>
      </c>
      <c r="L218" s="34" t="str">
        <f>IF('Final Project Dataset'!L218="Premium","PREM",IF('Final Project Dataset'!L218="Standard","STND",IF('Final Project Dataset'!L218="Basic","BASC","")))</f>
        <v>STND</v>
      </c>
      <c r="M218" s="34" t="str">
        <f>IF('Final Project Dataset'!J218="Credit Card","CC",IF('Final Project Dataset'!J218="Debit Card","DC",IF('Final Project Dataset'!J218="PayPal","PP",IF('Final Project Dataset'!J218="Cash","CSH",""))))</f>
        <v>CSH</v>
      </c>
    </row>
    <row r="219" spans="1:13">
      <c r="A219" s="34" t="str">
        <f>'Final Project Dataset'!D219</f>
        <v>Sharon Butler</v>
      </c>
      <c r="B219" s="34" t="str">
        <f t="shared" si="24"/>
        <v>Sharon</v>
      </c>
      <c r="C219" s="34" t="str">
        <f t="shared" si="25"/>
        <v>Butler</v>
      </c>
      <c r="D219" s="34" t="str">
        <f t="shared" si="26"/>
        <v>S.B.</v>
      </c>
      <c r="E219" s="34" t="str">
        <f t="shared" si="27"/>
        <v>Sharon B.</v>
      </c>
      <c r="F219" s="34" t="str">
        <f t="shared" si="28"/>
        <v>SHARON BUTLER</v>
      </c>
      <c r="G219" s="34" t="str">
        <f t="shared" si="29"/>
        <v>sharon butler</v>
      </c>
      <c r="H219" s="34" t="str">
        <f t="shared" si="30"/>
        <v>Sharon Butler</v>
      </c>
      <c r="I219" s="34">
        <f t="shared" si="31"/>
        <v>13</v>
      </c>
      <c r="J219" s="34" t="str">
        <f>IF('Final Project Dataset'!G219="Electronics","ELEC",IF('Final Project Dataset'!G219="Furniture","FURN",IF('Final Project Dataset'!G219="Appliances","APPL","")))</f>
        <v>ELEC</v>
      </c>
      <c r="K219" s="34" t="str">
        <f>IF('Final Project Dataset'!K219="North","N",IF('Final Project Dataset'!K219="South","S",IF('Final Project Dataset'!K219="East","E",IF('Final Project Dataset'!K219="West","W",IF('Final Project Dataset'!K219="Central","C","")))))</f>
        <v>W</v>
      </c>
      <c r="L219" s="34" t="str">
        <f>IF('Final Project Dataset'!L219="Premium","PREM",IF('Final Project Dataset'!L219="Standard","STND",IF('Final Project Dataset'!L219="Basic","BASC","")))</f>
        <v>BASC</v>
      </c>
      <c r="M219" s="34" t="str">
        <f>IF('Final Project Dataset'!J219="Credit Card","CC",IF('Final Project Dataset'!J219="Debit Card","DC",IF('Final Project Dataset'!J219="PayPal","PP",IF('Final Project Dataset'!J219="Cash","CSH",""))))</f>
        <v>PP</v>
      </c>
    </row>
    <row r="220" spans="1:13">
      <c r="A220" s="34" t="str">
        <f>'Final Project Dataset'!D220</f>
        <v>Ruth Brooks</v>
      </c>
      <c r="B220" s="34" t="str">
        <f t="shared" si="24"/>
        <v>Ruth</v>
      </c>
      <c r="C220" s="34" t="str">
        <f t="shared" si="25"/>
        <v>Brooks</v>
      </c>
      <c r="D220" s="34" t="str">
        <f t="shared" si="26"/>
        <v>R.B.</v>
      </c>
      <c r="E220" s="34" t="str">
        <f t="shared" si="27"/>
        <v>Ruth B.</v>
      </c>
      <c r="F220" s="34" t="str">
        <f t="shared" si="28"/>
        <v>RUTH BROOKS</v>
      </c>
      <c r="G220" s="34" t="str">
        <f t="shared" si="29"/>
        <v>ruth brooks</v>
      </c>
      <c r="H220" s="34" t="str">
        <f t="shared" si="30"/>
        <v>Ruth Brooks</v>
      </c>
      <c r="I220" s="34">
        <f t="shared" si="31"/>
        <v>11</v>
      </c>
      <c r="J220" s="34" t="str">
        <f>IF('Final Project Dataset'!G220="Electronics","ELEC",IF('Final Project Dataset'!G220="Furniture","FURN",IF('Final Project Dataset'!G220="Appliances","APPL","")))</f>
        <v>ELEC</v>
      </c>
      <c r="K220" s="34" t="str">
        <f>IF('Final Project Dataset'!K220="North","N",IF('Final Project Dataset'!K220="South","S",IF('Final Project Dataset'!K220="East","E",IF('Final Project Dataset'!K220="West","W",IF('Final Project Dataset'!K220="Central","C","")))))</f>
        <v>N</v>
      </c>
      <c r="L220" s="34" t="str">
        <f>IF('Final Project Dataset'!L220="Premium","PREM",IF('Final Project Dataset'!L220="Standard","STND",IF('Final Project Dataset'!L220="Basic","BASC","")))</f>
        <v>PREM</v>
      </c>
      <c r="M220" s="34" t="str">
        <f>IF('Final Project Dataset'!J220="Credit Card","CC",IF('Final Project Dataset'!J220="Debit Card","DC",IF('Final Project Dataset'!J220="PayPal","PP",IF('Final Project Dataset'!J220="Cash","CSH",""))))</f>
        <v>CSH</v>
      </c>
    </row>
    <row r="221" spans="1:13">
      <c r="A221" s="34" t="str">
        <f>'Final Project Dataset'!D221</f>
        <v>Arthur Edwards</v>
      </c>
      <c r="B221" s="34" t="str">
        <f t="shared" si="24"/>
        <v>Arthur</v>
      </c>
      <c r="C221" s="34" t="str">
        <f t="shared" si="25"/>
        <v>Edwards</v>
      </c>
      <c r="D221" s="34" t="str">
        <f t="shared" si="26"/>
        <v>A.E.</v>
      </c>
      <c r="E221" s="34" t="str">
        <f t="shared" si="27"/>
        <v>Arthur E.</v>
      </c>
      <c r="F221" s="34" t="str">
        <f t="shared" si="28"/>
        <v>ARTHUR EDWARDS</v>
      </c>
      <c r="G221" s="34" t="str">
        <f t="shared" si="29"/>
        <v>arthur edwards</v>
      </c>
      <c r="H221" s="34" t="str">
        <f t="shared" si="30"/>
        <v>Arthur Edwards</v>
      </c>
      <c r="I221" s="34">
        <f t="shared" si="31"/>
        <v>14</v>
      </c>
      <c r="J221" s="34" t="str">
        <f>IF('Final Project Dataset'!G221="Electronics","ELEC",IF('Final Project Dataset'!G221="Furniture","FURN",IF('Final Project Dataset'!G221="Appliances","APPL","")))</f>
        <v>FURN</v>
      </c>
      <c r="K221" s="34" t="str">
        <f>IF('Final Project Dataset'!K221="North","N",IF('Final Project Dataset'!K221="South","S",IF('Final Project Dataset'!K221="East","E",IF('Final Project Dataset'!K221="West","W",IF('Final Project Dataset'!K221="Central","C","")))))</f>
        <v>N</v>
      </c>
      <c r="L221" s="34" t="str">
        <f>IF('Final Project Dataset'!L221="Premium","PREM",IF('Final Project Dataset'!L221="Standard","STND",IF('Final Project Dataset'!L221="Basic","BASC","")))</f>
        <v>PREM</v>
      </c>
      <c r="M221" s="34" t="str">
        <f>IF('Final Project Dataset'!J221="Credit Card","CC",IF('Final Project Dataset'!J221="Debit Card","DC",IF('Final Project Dataset'!J221="PayPal","PP",IF('Final Project Dataset'!J221="Cash","CSH",""))))</f>
        <v>PP</v>
      </c>
    </row>
    <row r="222" spans="1:13">
      <c r="A222" s="34" t="str">
        <f>'Final Project Dataset'!D222</f>
        <v>Elizabeth Hall</v>
      </c>
      <c r="B222" s="34" t="str">
        <f t="shared" si="24"/>
        <v>Elizabeth</v>
      </c>
      <c r="C222" s="34" t="str">
        <f t="shared" si="25"/>
        <v>Hall</v>
      </c>
      <c r="D222" s="34" t="str">
        <f t="shared" si="26"/>
        <v>E.H.</v>
      </c>
      <c r="E222" s="34" t="str">
        <f t="shared" si="27"/>
        <v>Elizabeth H.</v>
      </c>
      <c r="F222" s="34" t="str">
        <f t="shared" si="28"/>
        <v>ELIZABETH HALL</v>
      </c>
      <c r="G222" s="34" t="str">
        <f t="shared" si="29"/>
        <v>elizabeth hall</v>
      </c>
      <c r="H222" s="34" t="str">
        <f t="shared" si="30"/>
        <v>Elizabeth Hall</v>
      </c>
      <c r="I222" s="34">
        <f t="shared" si="31"/>
        <v>14</v>
      </c>
      <c r="J222" s="34" t="str">
        <f>IF('Final Project Dataset'!G222="Electronics","ELEC",IF('Final Project Dataset'!G222="Furniture","FURN",IF('Final Project Dataset'!G222="Appliances","APPL","")))</f>
        <v>ELEC</v>
      </c>
      <c r="K222" s="34" t="str">
        <f>IF('Final Project Dataset'!K222="North","N",IF('Final Project Dataset'!K222="South","S",IF('Final Project Dataset'!K222="East","E",IF('Final Project Dataset'!K222="West","W",IF('Final Project Dataset'!K222="Central","C","")))))</f>
        <v>W</v>
      </c>
      <c r="L222" s="34" t="str">
        <f>IF('Final Project Dataset'!L222="Premium","PREM",IF('Final Project Dataset'!L222="Standard","STND",IF('Final Project Dataset'!L222="Basic","BASC","")))</f>
        <v>PREM</v>
      </c>
      <c r="M222" s="34" t="str">
        <f>IF('Final Project Dataset'!J222="Credit Card","CC",IF('Final Project Dataset'!J222="Debit Card","DC",IF('Final Project Dataset'!J222="PayPal","PP",IF('Final Project Dataset'!J222="Cash","CSH",""))))</f>
        <v>PP</v>
      </c>
    </row>
    <row r="223" spans="1:13">
      <c r="A223" s="34" t="str">
        <f>'Final Project Dataset'!D223</f>
        <v>Steven Turner</v>
      </c>
      <c r="B223" s="34" t="str">
        <f t="shared" si="24"/>
        <v>Steven</v>
      </c>
      <c r="C223" s="34" t="str">
        <f t="shared" si="25"/>
        <v>Turner</v>
      </c>
      <c r="D223" s="34" t="str">
        <f t="shared" si="26"/>
        <v>S.T.</v>
      </c>
      <c r="E223" s="34" t="str">
        <f t="shared" si="27"/>
        <v>Steven T.</v>
      </c>
      <c r="F223" s="34" t="str">
        <f t="shared" si="28"/>
        <v>STEVEN TURNER</v>
      </c>
      <c r="G223" s="34" t="str">
        <f t="shared" si="29"/>
        <v>steven turner</v>
      </c>
      <c r="H223" s="34" t="str">
        <f t="shared" si="30"/>
        <v>Steven Turner</v>
      </c>
      <c r="I223" s="34">
        <f t="shared" si="31"/>
        <v>13</v>
      </c>
      <c r="J223" s="34" t="str">
        <f>IF('Final Project Dataset'!G223="Electronics","ELEC",IF('Final Project Dataset'!G223="Furniture","FURN",IF('Final Project Dataset'!G223="Appliances","APPL","")))</f>
        <v>FURN</v>
      </c>
      <c r="K223" s="34" t="str">
        <f>IF('Final Project Dataset'!K223="North","N",IF('Final Project Dataset'!K223="South","S",IF('Final Project Dataset'!K223="East","E",IF('Final Project Dataset'!K223="West","W",IF('Final Project Dataset'!K223="Central","C","")))))</f>
        <v>C</v>
      </c>
      <c r="L223" s="34" t="str">
        <f>IF('Final Project Dataset'!L223="Premium","PREM",IF('Final Project Dataset'!L223="Standard","STND",IF('Final Project Dataset'!L223="Basic","BASC","")))</f>
        <v>PREM</v>
      </c>
      <c r="M223" s="34" t="str">
        <f>IF('Final Project Dataset'!J223="Credit Card","CC",IF('Final Project Dataset'!J223="Debit Card","DC",IF('Final Project Dataset'!J223="PayPal","PP",IF('Final Project Dataset'!J223="Cash","CSH",""))))</f>
        <v>CSH</v>
      </c>
    </row>
    <row r="224" spans="1:13">
      <c r="A224" s="34" t="str">
        <f>'Final Project Dataset'!D224</f>
        <v>Richard Lee</v>
      </c>
      <c r="B224" s="34" t="str">
        <f t="shared" si="24"/>
        <v>Richard</v>
      </c>
      <c r="C224" s="34" t="str">
        <f t="shared" si="25"/>
        <v>Lee</v>
      </c>
      <c r="D224" s="34" t="str">
        <f t="shared" si="26"/>
        <v>R.L.</v>
      </c>
      <c r="E224" s="34" t="str">
        <f t="shared" si="27"/>
        <v>Richard L.</v>
      </c>
      <c r="F224" s="34" t="str">
        <f t="shared" si="28"/>
        <v>RICHARD LEE</v>
      </c>
      <c r="G224" s="34" t="str">
        <f t="shared" si="29"/>
        <v>richard lee</v>
      </c>
      <c r="H224" s="34" t="str">
        <f t="shared" si="30"/>
        <v>Richard Lee</v>
      </c>
      <c r="I224" s="34">
        <f t="shared" si="31"/>
        <v>11</v>
      </c>
      <c r="J224" s="34" t="str">
        <f>IF('Final Project Dataset'!G224="Electronics","ELEC",IF('Final Project Dataset'!G224="Furniture","FURN",IF('Final Project Dataset'!G224="Appliances","APPL","")))</f>
        <v>APPL</v>
      </c>
      <c r="K224" s="34" t="str">
        <f>IF('Final Project Dataset'!K224="North","N",IF('Final Project Dataset'!K224="South","S",IF('Final Project Dataset'!K224="East","E",IF('Final Project Dataset'!K224="West","W",IF('Final Project Dataset'!K224="Central","C","")))))</f>
        <v>W</v>
      </c>
      <c r="L224" s="34" t="str">
        <f>IF('Final Project Dataset'!L224="Premium","PREM",IF('Final Project Dataset'!L224="Standard","STND",IF('Final Project Dataset'!L224="Basic","BASC","")))</f>
        <v>STND</v>
      </c>
      <c r="M224" s="34" t="str">
        <f>IF('Final Project Dataset'!J224="Credit Card","CC",IF('Final Project Dataset'!J224="Debit Card","DC",IF('Final Project Dataset'!J224="PayPal","PP",IF('Final Project Dataset'!J224="Cash","CSH",""))))</f>
        <v>CSH</v>
      </c>
    </row>
    <row r="225" spans="1:13">
      <c r="A225" s="34" t="str">
        <f>'Final Project Dataset'!D225</f>
        <v>Virginia Sanders</v>
      </c>
      <c r="B225" s="34" t="str">
        <f t="shared" si="24"/>
        <v>Virginia</v>
      </c>
      <c r="C225" s="34" t="str">
        <f t="shared" si="25"/>
        <v>Sanders</v>
      </c>
      <c r="D225" s="34" t="str">
        <f t="shared" si="26"/>
        <v>V.S.</v>
      </c>
      <c r="E225" s="34" t="str">
        <f t="shared" si="27"/>
        <v>Virginia S.</v>
      </c>
      <c r="F225" s="34" t="str">
        <f t="shared" si="28"/>
        <v>VIRGINIA SANDERS</v>
      </c>
      <c r="G225" s="34" t="str">
        <f t="shared" si="29"/>
        <v>virginia sanders</v>
      </c>
      <c r="H225" s="34" t="str">
        <f t="shared" si="30"/>
        <v>Virginia Sanders</v>
      </c>
      <c r="I225" s="34">
        <f t="shared" si="31"/>
        <v>16</v>
      </c>
      <c r="J225" s="34" t="str">
        <f>IF('Final Project Dataset'!G225="Electronics","ELEC",IF('Final Project Dataset'!G225="Furniture","FURN",IF('Final Project Dataset'!G225="Appliances","APPL","")))</f>
        <v>FURN</v>
      </c>
      <c r="K225" s="34" t="str">
        <f>IF('Final Project Dataset'!K225="North","N",IF('Final Project Dataset'!K225="South","S",IF('Final Project Dataset'!K225="East","E",IF('Final Project Dataset'!K225="West","W",IF('Final Project Dataset'!K225="Central","C","")))))</f>
        <v>S</v>
      </c>
      <c r="L225" s="34" t="str">
        <f>IF('Final Project Dataset'!L225="Premium","PREM",IF('Final Project Dataset'!L225="Standard","STND",IF('Final Project Dataset'!L225="Basic","BASC","")))</f>
        <v>BASC</v>
      </c>
      <c r="M225" s="34" t="str">
        <f>IF('Final Project Dataset'!J225="Credit Card","CC",IF('Final Project Dataset'!J225="Debit Card","DC",IF('Final Project Dataset'!J225="PayPal","PP",IF('Final Project Dataset'!J225="Cash","CSH",""))))</f>
        <v>PP</v>
      </c>
    </row>
    <row r="226" spans="1:13">
      <c r="A226" s="34" t="str">
        <f>'Final Project Dataset'!D226</f>
        <v>Charles Allen</v>
      </c>
      <c r="B226" s="34" t="str">
        <f t="shared" si="24"/>
        <v>Charles</v>
      </c>
      <c r="C226" s="34" t="str">
        <f t="shared" si="25"/>
        <v>Allen</v>
      </c>
      <c r="D226" s="34" t="str">
        <f t="shared" si="26"/>
        <v>C.A.</v>
      </c>
      <c r="E226" s="34" t="str">
        <f t="shared" si="27"/>
        <v>Charles A.</v>
      </c>
      <c r="F226" s="34" t="str">
        <f t="shared" si="28"/>
        <v>CHARLES ALLEN</v>
      </c>
      <c r="G226" s="34" t="str">
        <f t="shared" si="29"/>
        <v>charles allen</v>
      </c>
      <c r="H226" s="34" t="str">
        <f t="shared" si="30"/>
        <v>Charles Allen</v>
      </c>
      <c r="I226" s="34">
        <f t="shared" si="31"/>
        <v>13</v>
      </c>
      <c r="J226" s="34" t="str">
        <f>IF('Final Project Dataset'!G226="Electronics","ELEC",IF('Final Project Dataset'!G226="Furniture","FURN",IF('Final Project Dataset'!G226="Appliances","APPL","")))</f>
        <v>FURN</v>
      </c>
      <c r="K226" s="34" t="str">
        <f>IF('Final Project Dataset'!K226="North","N",IF('Final Project Dataset'!K226="South","S",IF('Final Project Dataset'!K226="East","E",IF('Final Project Dataset'!K226="West","W",IF('Final Project Dataset'!K226="Central","C","")))))</f>
        <v>C</v>
      </c>
      <c r="L226" s="34" t="str">
        <f>IF('Final Project Dataset'!L226="Premium","PREM",IF('Final Project Dataset'!L226="Standard","STND",IF('Final Project Dataset'!L226="Basic","BASC","")))</f>
        <v>BASC</v>
      </c>
      <c r="M226" s="34" t="str">
        <f>IF('Final Project Dataset'!J226="Credit Card","CC",IF('Final Project Dataset'!J226="Debit Card","DC",IF('Final Project Dataset'!J226="PayPal","PP",IF('Final Project Dataset'!J226="Cash","CSH",""))))</f>
        <v>CSH</v>
      </c>
    </row>
    <row r="227" spans="1:13">
      <c r="A227" s="34" t="str">
        <f>'Final Project Dataset'!D227</f>
        <v>Lawrence Reed</v>
      </c>
      <c r="B227" s="34" t="str">
        <f t="shared" si="24"/>
        <v>Lawrence</v>
      </c>
      <c r="C227" s="34" t="str">
        <f t="shared" si="25"/>
        <v>Reed</v>
      </c>
      <c r="D227" s="34" t="str">
        <f t="shared" si="26"/>
        <v>L.R.</v>
      </c>
      <c r="E227" s="34" t="str">
        <f t="shared" si="27"/>
        <v>Lawrence R.</v>
      </c>
      <c r="F227" s="34" t="str">
        <f t="shared" si="28"/>
        <v>LAWRENCE REED</v>
      </c>
      <c r="G227" s="34" t="str">
        <f t="shared" si="29"/>
        <v>lawrence reed</v>
      </c>
      <c r="H227" s="34" t="str">
        <f t="shared" si="30"/>
        <v>Lawrence Reed</v>
      </c>
      <c r="I227" s="34">
        <f t="shared" si="31"/>
        <v>13</v>
      </c>
      <c r="J227" s="34" t="str">
        <f>IF('Final Project Dataset'!G227="Electronics","ELEC",IF('Final Project Dataset'!G227="Furniture","FURN",IF('Final Project Dataset'!G227="Appliances","APPL","")))</f>
        <v>ELEC</v>
      </c>
      <c r="K227" s="34" t="str">
        <f>IF('Final Project Dataset'!K227="North","N",IF('Final Project Dataset'!K227="South","S",IF('Final Project Dataset'!K227="East","E",IF('Final Project Dataset'!K227="West","W",IF('Final Project Dataset'!K227="Central","C","")))))</f>
        <v>E</v>
      </c>
      <c r="L227" s="34" t="str">
        <f>IF('Final Project Dataset'!L227="Premium","PREM",IF('Final Project Dataset'!L227="Standard","STND",IF('Final Project Dataset'!L227="Basic","BASC","")))</f>
        <v>PREM</v>
      </c>
      <c r="M227" s="34" t="str">
        <f>IF('Final Project Dataset'!J227="Credit Card","CC",IF('Final Project Dataset'!J227="Debit Card","DC",IF('Final Project Dataset'!J227="PayPal","PP",IF('Final Project Dataset'!J227="Cash","CSH",""))))</f>
        <v>DC</v>
      </c>
    </row>
    <row r="228" spans="1:13">
      <c r="A228" s="34" t="str">
        <f>'Final Project Dataset'!D228</f>
        <v>Dennis Gray</v>
      </c>
      <c r="B228" s="34" t="str">
        <f t="shared" si="24"/>
        <v>Dennis</v>
      </c>
      <c r="C228" s="34" t="str">
        <f t="shared" si="25"/>
        <v>Gray</v>
      </c>
      <c r="D228" s="34" t="str">
        <f t="shared" si="26"/>
        <v>D.G.</v>
      </c>
      <c r="E228" s="34" t="str">
        <f t="shared" si="27"/>
        <v>Dennis G.</v>
      </c>
      <c r="F228" s="34" t="str">
        <f t="shared" si="28"/>
        <v>DENNIS GRAY</v>
      </c>
      <c r="G228" s="34" t="str">
        <f t="shared" si="29"/>
        <v>dennis gray</v>
      </c>
      <c r="H228" s="34" t="str">
        <f t="shared" si="30"/>
        <v>Dennis Gray</v>
      </c>
      <c r="I228" s="34">
        <f t="shared" si="31"/>
        <v>11</v>
      </c>
      <c r="J228" s="34" t="str">
        <f>IF('Final Project Dataset'!G228="Electronics","ELEC",IF('Final Project Dataset'!G228="Furniture","FURN",IF('Final Project Dataset'!G228="Appliances","APPL","")))</f>
        <v>APPL</v>
      </c>
      <c r="K228" s="34" t="str">
        <f>IF('Final Project Dataset'!K228="North","N",IF('Final Project Dataset'!K228="South","S",IF('Final Project Dataset'!K228="East","E",IF('Final Project Dataset'!K228="West","W",IF('Final Project Dataset'!K228="Central","C","")))))</f>
        <v>W</v>
      </c>
      <c r="L228" s="34" t="str">
        <f>IF('Final Project Dataset'!L228="Premium","PREM",IF('Final Project Dataset'!L228="Standard","STND",IF('Final Project Dataset'!L228="Basic","BASC","")))</f>
        <v>PREM</v>
      </c>
      <c r="M228" s="34" t="str">
        <f>IF('Final Project Dataset'!J228="Credit Card","CC",IF('Final Project Dataset'!J228="Debit Card","DC",IF('Final Project Dataset'!J228="PayPal","PP",IF('Final Project Dataset'!J228="Cash","CSH",""))))</f>
        <v>CSH</v>
      </c>
    </row>
    <row r="229" spans="1:13">
      <c r="A229" s="34" t="str">
        <f>'Final Project Dataset'!D229</f>
        <v>Paul Baker</v>
      </c>
      <c r="B229" s="34" t="str">
        <f t="shared" si="24"/>
        <v>Paul</v>
      </c>
      <c r="C229" s="34" t="str">
        <f t="shared" si="25"/>
        <v>Baker</v>
      </c>
      <c r="D229" s="34" t="str">
        <f t="shared" si="26"/>
        <v>P.B.</v>
      </c>
      <c r="E229" s="34" t="str">
        <f t="shared" si="27"/>
        <v>Paul B.</v>
      </c>
      <c r="F229" s="34" t="str">
        <f t="shared" si="28"/>
        <v>PAUL BAKER</v>
      </c>
      <c r="G229" s="34" t="str">
        <f t="shared" si="29"/>
        <v>paul baker</v>
      </c>
      <c r="H229" s="34" t="str">
        <f t="shared" si="30"/>
        <v>Paul Baker</v>
      </c>
      <c r="I229" s="34">
        <f t="shared" si="31"/>
        <v>10</v>
      </c>
      <c r="J229" s="34" t="str">
        <f>IF('Final Project Dataset'!G229="Electronics","ELEC",IF('Final Project Dataset'!G229="Furniture","FURN",IF('Final Project Dataset'!G229="Appliances","APPL","")))</f>
        <v>ELEC</v>
      </c>
      <c r="K229" s="34" t="str">
        <f>IF('Final Project Dataset'!K229="North","N",IF('Final Project Dataset'!K229="South","S",IF('Final Project Dataset'!K229="East","E",IF('Final Project Dataset'!K229="West","W",IF('Final Project Dataset'!K229="Central","C","")))))</f>
        <v>W</v>
      </c>
      <c r="L229" s="34" t="str">
        <f>IF('Final Project Dataset'!L229="Premium","PREM",IF('Final Project Dataset'!L229="Standard","STND",IF('Final Project Dataset'!L229="Basic","BASC","")))</f>
        <v>PREM</v>
      </c>
      <c r="M229" s="34" t="str">
        <f>IF('Final Project Dataset'!J229="Credit Card","CC",IF('Final Project Dataset'!J229="Debit Card","DC",IF('Final Project Dataset'!J229="PayPal","PP",IF('Final Project Dataset'!J229="Cash","CSH",""))))</f>
        <v>CC</v>
      </c>
    </row>
    <row r="230" spans="1:13">
      <c r="A230" s="34" t="str">
        <f>'Final Project Dataset'!D230</f>
        <v>Helen Roberts</v>
      </c>
      <c r="B230" s="34" t="str">
        <f t="shared" si="24"/>
        <v>Helen</v>
      </c>
      <c r="C230" s="34" t="str">
        <f t="shared" si="25"/>
        <v>Roberts</v>
      </c>
      <c r="D230" s="34" t="str">
        <f t="shared" si="26"/>
        <v>H.R.</v>
      </c>
      <c r="E230" s="34" t="str">
        <f t="shared" si="27"/>
        <v>Helen R.</v>
      </c>
      <c r="F230" s="34" t="str">
        <f t="shared" si="28"/>
        <v>HELEN ROBERTS</v>
      </c>
      <c r="G230" s="34" t="str">
        <f t="shared" si="29"/>
        <v>helen roberts</v>
      </c>
      <c r="H230" s="34" t="str">
        <f t="shared" si="30"/>
        <v>Helen Roberts</v>
      </c>
      <c r="I230" s="34">
        <f t="shared" si="31"/>
        <v>13</v>
      </c>
      <c r="J230" s="34" t="str">
        <f>IF('Final Project Dataset'!G230="Electronics","ELEC",IF('Final Project Dataset'!G230="Furniture","FURN",IF('Final Project Dataset'!G230="Appliances","APPL","")))</f>
        <v>ELEC</v>
      </c>
      <c r="K230" s="34" t="str">
        <f>IF('Final Project Dataset'!K230="North","N",IF('Final Project Dataset'!K230="South","S",IF('Final Project Dataset'!K230="East","E",IF('Final Project Dataset'!K230="West","W",IF('Final Project Dataset'!K230="Central","C","")))))</f>
        <v>E</v>
      </c>
      <c r="L230" s="34" t="str">
        <f>IF('Final Project Dataset'!L230="Premium","PREM",IF('Final Project Dataset'!L230="Standard","STND",IF('Final Project Dataset'!L230="Basic","BASC","")))</f>
        <v>STND</v>
      </c>
      <c r="M230" s="34" t="str">
        <f>IF('Final Project Dataset'!J230="Credit Card","CC",IF('Final Project Dataset'!J230="Debit Card","DC",IF('Final Project Dataset'!J230="PayPal","PP",IF('Final Project Dataset'!J230="Cash","CSH",""))))</f>
        <v>CSH</v>
      </c>
    </row>
    <row r="231" spans="1:13">
      <c r="A231" s="34" t="str">
        <f>'Final Project Dataset'!D231</f>
        <v>Lawrence Reed</v>
      </c>
      <c r="B231" s="34" t="str">
        <f t="shared" si="24"/>
        <v>Lawrence</v>
      </c>
      <c r="C231" s="34" t="str">
        <f t="shared" si="25"/>
        <v>Reed</v>
      </c>
      <c r="D231" s="34" t="str">
        <f t="shared" si="26"/>
        <v>L.R.</v>
      </c>
      <c r="E231" s="34" t="str">
        <f t="shared" si="27"/>
        <v>Lawrence R.</v>
      </c>
      <c r="F231" s="34" t="str">
        <f t="shared" si="28"/>
        <v>LAWRENCE REED</v>
      </c>
      <c r="G231" s="34" t="str">
        <f t="shared" si="29"/>
        <v>lawrence reed</v>
      </c>
      <c r="H231" s="34" t="str">
        <f t="shared" si="30"/>
        <v>Lawrence Reed</v>
      </c>
      <c r="I231" s="34">
        <f t="shared" si="31"/>
        <v>13</v>
      </c>
      <c r="J231" s="34" t="str">
        <f>IF('Final Project Dataset'!G231="Electronics","ELEC",IF('Final Project Dataset'!G231="Furniture","FURN",IF('Final Project Dataset'!G231="Appliances","APPL","")))</f>
        <v>FURN</v>
      </c>
      <c r="K231" s="34" t="str">
        <f>IF('Final Project Dataset'!K231="North","N",IF('Final Project Dataset'!K231="South","S",IF('Final Project Dataset'!K231="East","E",IF('Final Project Dataset'!K231="West","W",IF('Final Project Dataset'!K231="Central","C","")))))</f>
        <v>C</v>
      </c>
      <c r="L231" s="34" t="str">
        <f>IF('Final Project Dataset'!L231="Premium","PREM",IF('Final Project Dataset'!L231="Standard","STND",IF('Final Project Dataset'!L231="Basic","BASC","")))</f>
        <v>PREM</v>
      </c>
      <c r="M231" s="34" t="str">
        <f>IF('Final Project Dataset'!J231="Credit Card","CC",IF('Final Project Dataset'!J231="Debit Card","DC",IF('Final Project Dataset'!J231="PayPal","PP",IF('Final Project Dataset'!J231="Cash","CSH",""))))</f>
        <v>PP</v>
      </c>
    </row>
    <row r="232" spans="1:13">
      <c r="A232" s="34" t="str">
        <f>'Final Project Dataset'!D232</f>
        <v>Harry Morgan</v>
      </c>
      <c r="B232" s="34" t="str">
        <f t="shared" si="24"/>
        <v>Harry</v>
      </c>
      <c r="C232" s="34" t="str">
        <f t="shared" si="25"/>
        <v>Morgan</v>
      </c>
      <c r="D232" s="34" t="str">
        <f t="shared" si="26"/>
        <v>H.M.</v>
      </c>
      <c r="E232" s="34" t="str">
        <f t="shared" si="27"/>
        <v>Harry M.</v>
      </c>
      <c r="F232" s="34" t="str">
        <f t="shared" si="28"/>
        <v>HARRY MORGAN</v>
      </c>
      <c r="G232" s="34" t="str">
        <f t="shared" si="29"/>
        <v>harry morgan</v>
      </c>
      <c r="H232" s="34" t="str">
        <f t="shared" si="30"/>
        <v>Harry Morgan</v>
      </c>
      <c r="I232" s="34">
        <f t="shared" si="31"/>
        <v>12</v>
      </c>
      <c r="J232" s="34" t="str">
        <f>IF('Final Project Dataset'!G232="Electronics","ELEC",IF('Final Project Dataset'!G232="Furniture","FURN",IF('Final Project Dataset'!G232="Appliances","APPL","")))</f>
        <v>ELEC</v>
      </c>
      <c r="K232" s="34" t="str">
        <f>IF('Final Project Dataset'!K232="North","N",IF('Final Project Dataset'!K232="South","S",IF('Final Project Dataset'!K232="East","E",IF('Final Project Dataset'!K232="West","W",IF('Final Project Dataset'!K232="Central","C","")))))</f>
        <v>E</v>
      </c>
      <c r="L232" s="34" t="str">
        <f>IF('Final Project Dataset'!L232="Premium","PREM",IF('Final Project Dataset'!L232="Standard","STND",IF('Final Project Dataset'!L232="Basic","BASC","")))</f>
        <v>PREM</v>
      </c>
      <c r="M232" s="34" t="str">
        <f>IF('Final Project Dataset'!J232="Credit Card","CC",IF('Final Project Dataset'!J232="Debit Card","DC",IF('Final Project Dataset'!J232="PayPal","PP",IF('Final Project Dataset'!J232="Cash","CSH",""))))</f>
        <v>PP</v>
      </c>
    </row>
    <row r="233" spans="1:13">
      <c r="A233" s="34" t="str">
        <f>'Final Project Dataset'!D233</f>
        <v>Charles Allen</v>
      </c>
      <c r="B233" s="34" t="str">
        <f t="shared" si="24"/>
        <v>Charles</v>
      </c>
      <c r="C233" s="34" t="str">
        <f t="shared" si="25"/>
        <v>Allen</v>
      </c>
      <c r="D233" s="34" t="str">
        <f t="shared" si="26"/>
        <v>C.A.</v>
      </c>
      <c r="E233" s="34" t="str">
        <f t="shared" si="27"/>
        <v>Charles A.</v>
      </c>
      <c r="F233" s="34" t="str">
        <f t="shared" si="28"/>
        <v>CHARLES ALLEN</v>
      </c>
      <c r="G233" s="34" t="str">
        <f t="shared" si="29"/>
        <v>charles allen</v>
      </c>
      <c r="H233" s="34" t="str">
        <f t="shared" si="30"/>
        <v>Charles Allen</v>
      </c>
      <c r="I233" s="34">
        <f t="shared" si="31"/>
        <v>13</v>
      </c>
      <c r="J233" s="34" t="str">
        <f>IF('Final Project Dataset'!G233="Electronics","ELEC",IF('Final Project Dataset'!G233="Furniture","FURN",IF('Final Project Dataset'!G233="Appliances","APPL","")))</f>
        <v>FURN</v>
      </c>
      <c r="K233" s="34" t="str">
        <f>IF('Final Project Dataset'!K233="North","N",IF('Final Project Dataset'!K233="South","S",IF('Final Project Dataset'!K233="East","E",IF('Final Project Dataset'!K233="West","W",IF('Final Project Dataset'!K233="Central","C","")))))</f>
        <v>C</v>
      </c>
      <c r="L233" s="34" t="str">
        <f>IF('Final Project Dataset'!L233="Premium","PREM",IF('Final Project Dataset'!L233="Standard","STND",IF('Final Project Dataset'!L233="Basic","BASC","")))</f>
        <v>STND</v>
      </c>
      <c r="M233" s="34" t="str">
        <f>IF('Final Project Dataset'!J233="Credit Card","CC",IF('Final Project Dataset'!J233="Debit Card","DC",IF('Final Project Dataset'!J233="PayPal","PP",IF('Final Project Dataset'!J233="Cash","CSH",""))))</f>
        <v>CSH</v>
      </c>
    </row>
    <row r="234" spans="1:13">
      <c r="A234" s="34" t="str">
        <f>'Final Project Dataset'!D234</f>
        <v>Harry Morgan</v>
      </c>
      <c r="B234" s="34" t="str">
        <f t="shared" si="24"/>
        <v>Harry</v>
      </c>
      <c r="C234" s="34" t="str">
        <f t="shared" si="25"/>
        <v>Morgan</v>
      </c>
      <c r="D234" s="34" t="str">
        <f t="shared" si="26"/>
        <v>H.M.</v>
      </c>
      <c r="E234" s="34" t="str">
        <f t="shared" si="27"/>
        <v>Harry M.</v>
      </c>
      <c r="F234" s="34" t="str">
        <f t="shared" si="28"/>
        <v>HARRY MORGAN</v>
      </c>
      <c r="G234" s="34" t="str">
        <f t="shared" si="29"/>
        <v>harry morgan</v>
      </c>
      <c r="H234" s="34" t="str">
        <f t="shared" si="30"/>
        <v>Harry Morgan</v>
      </c>
      <c r="I234" s="34">
        <f t="shared" si="31"/>
        <v>12</v>
      </c>
      <c r="J234" s="34" t="str">
        <f>IF('Final Project Dataset'!G234="Electronics","ELEC",IF('Final Project Dataset'!G234="Furniture","FURN",IF('Final Project Dataset'!G234="Appliances","APPL","")))</f>
        <v>ELEC</v>
      </c>
      <c r="K234" s="34" t="str">
        <f>IF('Final Project Dataset'!K234="North","N",IF('Final Project Dataset'!K234="South","S",IF('Final Project Dataset'!K234="East","E",IF('Final Project Dataset'!K234="West","W",IF('Final Project Dataset'!K234="Central","C","")))))</f>
        <v>N</v>
      </c>
      <c r="L234" s="34" t="str">
        <f>IF('Final Project Dataset'!L234="Premium","PREM",IF('Final Project Dataset'!L234="Standard","STND",IF('Final Project Dataset'!L234="Basic","BASC","")))</f>
        <v>STND</v>
      </c>
      <c r="M234" s="34" t="str">
        <f>IF('Final Project Dataset'!J234="Credit Card","CC",IF('Final Project Dataset'!J234="Debit Card","DC",IF('Final Project Dataset'!J234="PayPal","PP",IF('Final Project Dataset'!J234="Cash","CSH",""))))</f>
        <v>CSH</v>
      </c>
    </row>
    <row r="235" spans="1:13">
      <c r="A235" s="34" t="str">
        <f>'Final Project Dataset'!D235</f>
        <v>Frank Torres</v>
      </c>
      <c r="B235" s="34" t="str">
        <f t="shared" si="24"/>
        <v>Frank</v>
      </c>
      <c r="C235" s="34" t="str">
        <f t="shared" si="25"/>
        <v>Torres</v>
      </c>
      <c r="D235" s="34" t="str">
        <f t="shared" si="26"/>
        <v>F.T.</v>
      </c>
      <c r="E235" s="34" t="str">
        <f t="shared" si="27"/>
        <v>Frank T.</v>
      </c>
      <c r="F235" s="34" t="str">
        <f t="shared" si="28"/>
        <v>FRANK TORRES</v>
      </c>
      <c r="G235" s="34" t="str">
        <f t="shared" si="29"/>
        <v>frank torres</v>
      </c>
      <c r="H235" s="34" t="str">
        <f t="shared" si="30"/>
        <v>Frank Torres</v>
      </c>
      <c r="I235" s="34">
        <f t="shared" si="31"/>
        <v>12</v>
      </c>
      <c r="J235" s="34" t="str">
        <f>IF('Final Project Dataset'!G235="Electronics","ELEC",IF('Final Project Dataset'!G235="Furniture","FURN",IF('Final Project Dataset'!G235="Appliances","APPL","")))</f>
        <v>APPL</v>
      </c>
      <c r="K235" s="34" t="str">
        <f>IF('Final Project Dataset'!K235="North","N",IF('Final Project Dataset'!K235="South","S",IF('Final Project Dataset'!K235="East","E",IF('Final Project Dataset'!K235="West","W",IF('Final Project Dataset'!K235="Central","C","")))))</f>
        <v>W</v>
      </c>
      <c r="L235" s="34" t="str">
        <f>IF('Final Project Dataset'!L235="Premium","PREM",IF('Final Project Dataset'!L235="Standard","STND",IF('Final Project Dataset'!L235="Basic","BASC","")))</f>
        <v>BASC</v>
      </c>
      <c r="M235" s="34" t="str">
        <f>IF('Final Project Dataset'!J235="Credit Card","CC",IF('Final Project Dataset'!J235="Debit Card","DC",IF('Final Project Dataset'!J235="PayPal","PP",IF('Final Project Dataset'!J235="Cash","CSH",""))))</f>
        <v>CC</v>
      </c>
    </row>
    <row r="236" spans="1:13">
      <c r="A236" s="34" t="str">
        <f>'Final Project Dataset'!D236</f>
        <v>Emma Wilson</v>
      </c>
      <c r="B236" s="34" t="str">
        <f t="shared" si="24"/>
        <v>Emma</v>
      </c>
      <c r="C236" s="34" t="str">
        <f t="shared" si="25"/>
        <v>Wilson</v>
      </c>
      <c r="D236" s="34" t="str">
        <f t="shared" si="26"/>
        <v>E.W.</v>
      </c>
      <c r="E236" s="34" t="str">
        <f t="shared" si="27"/>
        <v>Emma W.</v>
      </c>
      <c r="F236" s="34" t="str">
        <f t="shared" si="28"/>
        <v>EMMA WILSON</v>
      </c>
      <c r="G236" s="34" t="str">
        <f t="shared" si="29"/>
        <v>emma wilson</v>
      </c>
      <c r="H236" s="34" t="str">
        <f t="shared" si="30"/>
        <v>Emma Wilson</v>
      </c>
      <c r="I236" s="34">
        <f t="shared" si="31"/>
        <v>11</v>
      </c>
      <c r="J236" s="34" t="str">
        <f>IF('Final Project Dataset'!G236="Electronics","ELEC",IF('Final Project Dataset'!G236="Furniture","FURN",IF('Final Project Dataset'!G236="Appliances","APPL","")))</f>
        <v>FURN</v>
      </c>
      <c r="K236" s="34" t="str">
        <f>IF('Final Project Dataset'!K236="North","N",IF('Final Project Dataset'!K236="South","S",IF('Final Project Dataset'!K236="East","E",IF('Final Project Dataset'!K236="West","W",IF('Final Project Dataset'!K236="Central","C","")))))</f>
        <v>W</v>
      </c>
      <c r="L236" s="34" t="str">
        <f>IF('Final Project Dataset'!L236="Premium","PREM",IF('Final Project Dataset'!L236="Standard","STND",IF('Final Project Dataset'!L236="Basic","BASC","")))</f>
        <v>PREM</v>
      </c>
      <c r="M236" s="34" t="str">
        <f>IF('Final Project Dataset'!J236="Credit Card","CC",IF('Final Project Dataset'!J236="Debit Card","DC",IF('Final Project Dataset'!J236="PayPal","PP",IF('Final Project Dataset'!J236="Cash","CSH",""))))</f>
        <v>CSH</v>
      </c>
    </row>
    <row r="237" spans="1:13">
      <c r="A237" s="34" t="str">
        <f>'Final Project Dataset'!D237</f>
        <v>Sharon Butler</v>
      </c>
      <c r="B237" s="34" t="str">
        <f t="shared" si="24"/>
        <v>Sharon</v>
      </c>
      <c r="C237" s="34" t="str">
        <f t="shared" si="25"/>
        <v>Butler</v>
      </c>
      <c r="D237" s="34" t="str">
        <f t="shared" si="26"/>
        <v>S.B.</v>
      </c>
      <c r="E237" s="34" t="str">
        <f t="shared" si="27"/>
        <v>Sharon B.</v>
      </c>
      <c r="F237" s="34" t="str">
        <f t="shared" si="28"/>
        <v>SHARON BUTLER</v>
      </c>
      <c r="G237" s="34" t="str">
        <f t="shared" si="29"/>
        <v>sharon butler</v>
      </c>
      <c r="H237" s="34" t="str">
        <f t="shared" si="30"/>
        <v>Sharon Butler</v>
      </c>
      <c r="I237" s="34">
        <f t="shared" si="31"/>
        <v>13</v>
      </c>
      <c r="J237" s="34" t="str">
        <f>IF('Final Project Dataset'!G237="Electronics","ELEC",IF('Final Project Dataset'!G237="Furniture","FURN",IF('Final Project Dataset'!G237="Appliances","APPL","")))</f>
        <v>ELEC</v>
      </c>
      <c r="K237" s="34" t="str">
        <f>IF('Final Project Dataset'!K237="North","N",IF('Final Project Dataset'!K237="South","S",IF('Final Project Dataset'!K237="East","E",IF('Final Project Dataset'!K237="West","W",IF('Final Project Dataset'!K237="Central","C","")))))</f>
        <v>N</v>
      </c>
      <c r="L237" s="34" t="str">
        <f>IF('Final Project Dataset'!L237="Premium","PREM",IF('Final Project Dataset'!L237="Standard","STND",IF('Final Project Dataset'!L237="Basic","BASC","")))</f>
        <v>PREM</v>
      </c>
      <c r="M237" s="34" t="str">
        <f>IF('Final Project Dataset'!J237="Credit Card","CC",IF('Final Project Dataset'!J237="Debit Card","DC",IF('Final Project Dataset'!J237="PayPal","PP",IF('Final Project Dataset'!J237="Cash","CSH",""))))</f>
        <v>DC</v>
      </c>
    </row>
    <row r="238" spans="1:13">
      <c r="A238" s="34" t="str">
        <f>'Final Project Dataset'!D238</f>
        <v>Dorothy Nelson</v>
      </c>
      <c r="B238" s="34" t="str">
        <f t="shared" si="24"/>
        <v>Dorothy</v>
      </c>
      <c r="C238" s="34" t="str">
        <f t="shared" si="25"/>
        <v>Nelson</v>
      </c>
      <c r="D238" s="34" t="str">
        <f t="shared" si="26"/>
        <v>D.N.</v>
      </c>
      <c r="E238" s="34" t="str">
        <f t="shared" si="27"/>
        <v>Dorothy N.</v>
      </c>
      <c r="F238" s="34" t="str">
        <f t="shared" si="28"/>
        <v>DOROTHY NELSON</v>
      </c>
      <c r="G238" s="34" t="str">
        <f t="shared" si="29"/>
        <v>dorothy nelson</v>
      </c>
      <c r="H238" s="34" t="str">
        <f t="shared" si="30"/>
        <v>Dorothy Nelson</v>
      </c>
      <c r="I238" s="34">
        <f t="shared" si="31"/>
        <v>14</v>
      </c>
      <c r="J238" s="34" t="str">
        <f>IF('Final Project Dataset'!G238="Electronics","ELEC",IF('Final Project Dataset'!G238="Furniture","FURN",IF('Final Project Dataset'!G238="Appliances","APPL","")))</f>
        <v>ELEC</v>
      </c>
      <c r="K238" s="34" t="str">
        <f>IF('Final Project Dataset'!K238="North","N",IF('Final Project Dataset'!K238="South","S",IF('Final Project Dataset'!K238="East","E",IF('Final Project Dataset'!K238="West","W",IF('Final Project Dataset'!K238="Central","C","")))))</f>
        <v>N</v>
      </c>
      <c r="L238" s="34" t="str">
        <f>IF('Final Project Dataset'!L238="Premium","PREM",IF('Final Project Dataset'!L238="Standard","STND",IF('Final Project Dataset'!L238="Basic","BASC","")))</f>
        <v>BASC</v>
      </c>
      <c r="M238" s="34" t="str">
        <f>IF('Final Project Dataset'!J238="Credit Card","CC",IF('Final Project Dataset'!J238="Debit Card","DC",IF('Final Project Dataset'!J238="PayPal","PP",IF('Final Project Dataset'!J238="Cash","CSH",""))))</f>
        <v>PP</v>
      </c>
    </row>
    <row r="239" spans="1:13">
      <c r="A239" s="34" t="str">
        <f>'Final Project Dataset'!D239</f>
        <v>Paul Baker</v>
      </c>
      <c r="B239" s="34" t="str">
        <f t="shared" si="24"/>
        <v>Paul</v>
      </c>
      <c r="C239" s="34" t="str">
        <f t="shared" si="25"/>
        <v>Baker</v>
      </c>
      <c r="D239" s="34" t="str">
        <f t="shared" si="26"/>
        <v>P.B.</v>
      </c>
      <c r="E239" s="34" t="str">
        <f t="shared" si="27"/>
        <v>Paul B.</v>
      </c>
      <c r="F239" s="34" t="str">
        <f t="shared" si="28"/>
        <v>PAUL BAKER</v>
      </c>
      <c r="G239" s="34" t="str">
        <f t="shared" si="29"/>
        <v>paul baker</v>
      </c>
      <c r="H239" s="34" t="str">
        <f t="shared" si="30"/>
        <v>Paul Baker</v>
      </c>
      <c r="I239" s="34">
        <f t="shared" si="31"/>
        <v>10</v>
      </c>
      <c r="J239" s="34" t="str">
        <f>IF('Final Project Dataset'!G239="Electronics","ELEC",IF('Final Project Dataset'!G239="Furniture","FURN",IF('Final Project Dataset'!G239="Appliances","APPL","")))</f>
        <v>FURN</v>
      </c>
      <c r="K239" s="34" t="str">
        <f>IF('Final Project Dataset'!K239="North","N",IF('Final Project Dataset'!K239="South","S",IF('Final Project Dataset'!K239="East","E",IF('Final Project Dataset'!K239="West","W",IF('Final Project Dataset'!K239="Central","C","")))))</f>
        <v>W</v>
      </c>
      <c r="L239" s="34" t="str">
        <f>IF('Final Project Dataset'!L239="Premium","PREM",IF('Final Project Dataset'!L239="Standard","STND",IF('Final Project Dataset'!L239="Basic","BASC","")))</f>
        <v>PREM</v>
      </c>
      <c r="M239" s="34" t="str">
        <f>IF('Final Project Dataset'!J239="Credit Card","CC",IF('Final Project Dataset'!J239="Debit Card","DC",IF('Final Project Dataset'!J239="PayPal","PP",IF('Final Project Dataset'!J239="Cash","CSH",""))))</f>
        <v>CC</v>
      </c>
    </row>
    <row r="240" spans="1:13">
      <c r="A240" s="34" t="str">
        <f>'Final Project Dataset'!D240</f>
        <v>John Smith</v>
      </c>
      <c r="B240" s="34" t="str">
        <f t="shared" si="24"/>
        <v>John</v>
      </c>
      <c r="C240" s="34" t="str">
        <f t="shared" si="25"/>
        <v>Smith</v>
      </c>
      <c r="D240" s="34" t="str">
        <f t="shared" si="26"/>
        <v>J.S.</v>
      </c>
      <c r="E240" s="34" t="str">
        <f t="shared" si="27"/>
        <v>John S.</v>
      </c>
      <c r="F240" s="34" t="str">
        <f t="shared" si="28"/>
        <v>JOHN SMITH</v>
      </c>
      <c r="G240" s="34" t="str">
        <f t="shared" si="29"/>
        <v>john smith</v>
      </c>
      <c r="H240" s="34" t="str">
        <f t="shared" si="30"/>
        <v>John Smith</v>
      </c>
      <c r="I240" s="34">
        <f t="shared" si="31"/>
        <v>10</v>
      </c>
      <c r="J240" s="34" t="str">
        <f>IF('Final Project Dataset'!G240="Electronics","ELEC",IF('Final Project Dataset'!G240="Furniture","FURN",IF('Final Project Dataset'!G240="Appliances","APPL","")))</f>
        <v>FURN</v>
      </c>
      <c r="K240" s="34" t="str">
        <f>IF('Final Project Dataset'!K240="North","N",IF('Final Project Dataset'!K240="South","S",IF('Final Project Dataset'!K240="East","E",IF('Final Project Dataset'!K240="West","W",IF('Final Project Dataset'!K240="Central","C","")))))</f>
        <v>W</v>
      </c>
      <c r="L240" s="34" t="str">
        <f>IF('Final Project Dataset'!L240="Premium","PREM",IF('Final Project Dataset'!L240="Standard","STND",IF('Final Project Dataset'!L240="Basic","BASC","")))</f>
        <v>STND</v>
      </c>
      <c r="M240" s="34" t="str">
        <f>IF('Final Project Dataset'!J240="Credit Card","CC",IF('Final Project Dataset'!J240="Debit Card","DC",IF('Final Project Dataset'!J240="PayPal","PP",IF('Final Project Dataset'!J240="Cash","CSH",""))))</f>
        <v>PP</v>
      </c>
    </row>
    <row r="241" spans="1:13">
      <c r="A241" s="34" t="str">
        <f>'Final Project Dataset'!D241</f>
        <v>Cynthia Price</v>
      </c>
      <c r="B241" s="34" t="str">
        <f t="shared" si="24"/>
        <v>Cynthia</v>
      </c>
      <c r="C241" s="34" t="str">
        <f t="shared" si="25"/>
        <v>Price</v>
      </c>
      <c r="D241" s="34" t="str">
        <f t="shared" si="26"/>
        <v>C.P.</v>
      </c>
      <c r="E241" s="34" t="str">
        <f t="shared" si="27"/>
        <v>Cynthia P.</v>
      </c>
      <c r="F241" s="34" t="str">
        <f t="shared" si="28"/>
        <v>CYNTHIA PRICE</v>
      </c>
      <c r="G241" s="34" t="str">
        <f t="shared" si="29"/>
        <v>cynthia price</v>
      </c>
      <c r="H241" s="34" t="str">
        <f t="shared" si="30"/>
        <v>Cynthia Price</v>
      </c>
      <c r="I241" s="34">
        <f t="shared" si="31"/>
        <v>13</v>
      </c>
      <c r="J241" s="34" t="str">
        <f>IF('Final Project Dataset'!G241="Electronics","ELEC",IF('Final Project Dataset'!G241="Furniture","FURN",IF('Final Project Dataset'!G241="Appliances","APPL","")))</f>
        <v>APPL</v>
      </c>
      <c r="K241" s="34" t="str">
        <f>IF('Final Project Dataset'!K241="North","N",IF('Final Project Dataset'!K241="South","S",IF('Final Project Dataset'!K241="East","E",IF('Final Project Dataset'!K241="West","W",IF('Final Project Dataset'!K241="Central","C","")))))</f>
        <v>C</v>
      </c>
      <c r="L241" s="34" t="str">
        <f>IF('Final Project Dataset'!L241="Premium","PREM",IF('Final Project Dataset'!L241="Standard","STND",IF('Final Project Dataset'!L241="Basic","BASC","")))</f>
        <v>BASC</v>
      </c>
      <c r="M241" s="34" t="str">
        <f>IF('Final Project Dataset'!J241="Credit Card","CC",IF('Final Project Dataset'!J241="Debit Card","DC",IF('Final Project Dataset'!J241="PayPal","PP",IF('Final Project Dataset'!J241="Cash","CSH",""))))</f>
        <v>CC</v>
      </c>
    </row>
    <row r="242" spans="1:13">
      <c r="A242" s="34" t="str">
        <f>'Final Project Dataset'!D242</f>
        <v>Margaret Wright</v>
      </c>
      <c r="B242" s="34" t="str">
        <f t="shared" si="24"/>
        <v>Margaret</v>
      </c>
      <c r="C242" s="34" t="str">
        <f t="shared" si="25"/>
        <v>Wright</v>
      </c>
      <c r="D242" s="34" t="str">
        <f t="shared" si="26"/>
        <v>M.W.</v>
      </c>
      <c r="E242" s="34" t="str">
        <f t="shared" si="27"/>
        <v>Margaret W.</v>
      </c>
      <c r="F242" s="34" t="str">
        <f t="shared" si="28"/>
        <v>MARGARET WRIGHT</v>
      </c>
      <c r="G242" s="34" t="str">
        <f t="shared" si="29"/>
        <v>margaret wright</v>
      </c>
      <c r="H242" s="34" t="str">
        <f t="shared" si="30"/>
        <v>Margaret Wright</v>
      </c>
      <c r="I242" s="34">
        <f t="shared" si="31"/>
        <v>15</v>
      </c>
      <c r="J242" s="34" t="str">
        <f>IF('Final Project Dataset'!G242="Electronics","ELEC",IF('Final Project Dataset'!G242="Furniture","FURN",IF('Final Project Dataset'!G242="Appliances","APPL","")))</f>
        <v>ELEC</v>
      </c>
      <c r="K242" s="34" t="str">
        <f>IF('Final Project Dataset'!K242="North","N",IF('Final Project Dataset'!K242="South","S",IF('Final Project Dataset'!K242="East","E",IF('Final Project Dataset'!K242="West","W",IF('Final Project Dataset'!K242="Central","C","")))))</f>
        <v>S</v>
      </c>
      <c r="L242" s="34" t="str">
        <f>IF('Final Project Dataset'!L242="Premium","PREM",IF('Final Project Dataset'!L242="Standard","STND",IF('Final Project Dataset'!L242="Basic","BASC","")))</f>
        <v>BASC</v>
      </c>
      <c r="M242" s="34" t="str">
        <f>IF('Final Project Dataset'!J242="Credit Card","CC",IF('Final Project Dataset'!J242="Debit Card","DC",IF('Final Project Dataset'!J242="PayPal","PP",IF('Final Project Dataset'!J242="Cash","CSH",""))))</f>
        <v>PP</v>
      </c>
    </row>
    <row r="243" spans="1:13">
      <c r="A243" s="34" t="str">
        <f>'Final Project Dataset'!D243</f>
        <v>Virginia Sanders</v>
      </c>
      <c r="B243" s="34" t="str">
        <f t="shared" si="24"/>
        <v>Virginia</v>
      </c>
      <c r="C243" s="34" t="str">
        <f t="shared" si="25"/>
        <v>Sanders</v>
      </c>
      <c r="D243" s="34" t="str">
        <f t="shared" si="26"/>
        <v>V.S.</v>
      </c>
      <c r="E243" s="34" t="str">
        <f t="shared" si="27"/>
        <v>Virginia S.</v>
      </c>
      <c r="F243" s="34" t="str">
        <f t="shared" si="28"/>
        <v>VIRGINIA SANDERS</v>
      </c>
      <c r="G243" s="34" t="str">
        <f t="shared" si="29"/>
        <v>virginia sanders</v>
      </c>
      <c r="H243" s="34" t="str">
        <f t="shared" si="30"/>
        <v>Virginia Sanders</v>
      </c>
      <c r="I243" s="34">
        <f t="shared" si="31"/>
        <v>16</v>
      </c>
      <c r="J243" s="34" t="str">
        <f>IF('Final Project Dataset'!G243="Electronics","ELEC",IF('Final Project Dataset'!G243="Furniture","FURN",IF('Final Project Dataset'!G243="Appliances","APPL","")))</f>
        <v>FURN</v>
      </c>
      <c r="K243" s="34" t="str">
        <f>IF('Final Project Dataset'!K243="North","N",IF('Final Project Dataset'!K243="South","S",IF('Final Project Dataset'!K243="East","E",IF('Final Project Dataset'!K243="West","W",IF('Final Project Dataset'!K243="Central","C","")))))</f>
        <v>C</v>
      </c>
      <c r="L243" s="34" t="str">
        <f>IF('Final Project Dataset'!L243="Premium","PREM",IF('Final Project Dataset'!L243="Standard","STND",IF('Final Project Dataset'!L243="Basic","BASC","")))</f>
        <v>STND</v>
      </c>
      <c r="M243" s="34" t="str">
        <f>IF('Final Project Dataset'!J243="Credit Card","CC",IF('Final Project Dataset'!J243="Debit Card","DC",IF('Final Project Dataset'!J243="PayPal","PP",IF('Final Project Dataset'!J243="Cash","CSH",""))))</f>
        <v>PP</v>
      </c>
    </row>
    <row r="244" spans="1:13">
      <c r="A244" s="34" t="str">
        <f>'Final Project Dataset'!D244</f>
        <v>Karen Hill</v>
      </c>
      <c r="B244" s="34" t="str">
        <f t="shared" si="24"/>
        <v>Karen</v>
      </c>
      <c r="C244" s="34" t="str">
        <f t="shared" si="25"/>
        <v>Hill</v>
      </c>
      <c r="D244" s="34" t="str">
        <f t="shared" si="26"/>
        <v>K.H.</v>
      </c>
      <c r="E244" s="34" t="str">
        <f t="shared" si="27"/>
        <v>Karen H.</v>
      </c>
      <c r="F244" s="34" t="str">
        <f t="shared" si="28"/>
        <v>KAREN HILL</v>
      </c>
      <c r="G244" s="34" t="str">
        <f t="shared" si="29"/>
        <v>karen hill</v>
      </c>
      <c r="H244" s="34" t="str">
        <f t="shared" si="30"/>
        <v>Karen Hill</v>
      </c>
      <c r="I244" s="34">
        <f t="shared" si="31"/>
        <v>10</v>
      </c>
      <c r="J244" s="34" t="str">
        <f>IF('Final Project Dataset'!G244="Electronics","ELEC",IF('Final Project Dataset'!G244="Furniture","FURN",IF('Final Project Dataset'!G244="Appliances","APPL","")))</f>
        <v>ELEC</v>
      </c>
      <c r="K244" s="34" t="str">
        <f>IF('Final Project Dataset'!K244="North","N",IF('Final Project Dataset'!K244="South","S",IF('Final Project Dataset'!K244="East","E",IF('Final Project Dataset'!K244="West","W",IF('Final Project Dataset'!K244="Central","C","")))))</f>
        <v>W</v>
      </c>
      <c r="L244" s="34" t="str">
        <f>IF('Final Project Dataset'!L244="Premium","PREM",IF('Final Project Dataset'!L244="Standard","STND",IF('Final Project Dataset'!L244="Basic","BASC","")))</f>
        <v>PREM</v>
      </c>
      <c r="M244" s="34" t="str">
        <f>IF('Final Project Dataset'!J244="Credit Card","CC",IF('Final Project Dataset'!J244="Debit Card","DC",IF('Final Project Dataset'!J244="PayPal","PP",IF('Final Project Dataset'!J244="Cash","CSH",""))))</f>
        <v>DC</v>
      </c>
    </row>
    <row r="245" spans="1:13">
      <c r="A245" s="34" t="str">
        <f>'Final Project Dataset'!D245</f>
        <v>Cynthia Price</v>
      </c>
      <c r="B245" s="34" t="str">
        <f t="shared" si="24"/>
        <v>Cynthia</v>
      </c>
      <c r="C245" s="34" t="str">
        <f t="shared" si="25"/>
        <v>Price</v>
      </c>
      <c r="D245" s="34" t="str">
        <f t="shared" si="26"/>
        <v>C.P.</v>
      </c>
      <c r="E245" s="34" t="str">
        <f t="shared" si="27"/>
        <v>Cynthia P.</v>
      </c>
      <c r="F245" s="34" t="str">
        <f t="shared" si="28"/>
        <v>CYNTHIA PRICE</v>
      </c>
      <c r="G245" s="34" t="str">
        <f t="shared" si="29"/>
        <v>cynthia price</v>
      </c>
      <c r="H245" s="34" t="str">
        <f t="shared" si="30"/>
        <v>Cynthia Price</v>
      </c>
      <c r="I245" s="34">
        <f t="shared" si="31"/>
        <v>13</v>
      </c>
      <c r="J245" s="34" t="str">
        <f>IF('Final Project Dataset'!G245="Electronics","ELEC",IF('Final Project Dataset'!G245="Furniture","FURN",IF('Final Project Dataset'!G245="Appliances","APPL","")))</f>
        <v>ELEC</v>
      </c>
      <c r="K245" s="34" t="str">
        <f>IF('Final Project Dataset'!K245="North","N",IF('Final Project Dataset'!K245="South","S",IF('Final Project Dataset'!K245="East","E",IF('Final Project Dataset'!K245="West","W",IF('Final Project Dataset'!K245="Central","C","")))))</f>
        <v>N</v>
      </c>
      <c r="L245" s="34" t="str">
        <f>IF('Final Project Dataset'!L245="Premium","PREM",IF('Final Project Dataset'!L245="Standard","STND",IF('Final Project Dataset'!L245="Basic","BASC","")))</f>
        <v>STND</v>
      </c>
      <c r="M245" s="34" t="str">
        <f>IF('Final Project Dataset'!J245="Credit Card","CC",IF('Final Project Dataset'!J245="Debit Card","DC",IF('Final Project Dataset'!J245="PayPal","PP",IF('Final Project Dataset'!J245="Cash","CSH",""))))</f>
        <v>PP</v>
      </c>
    </row>
    <row r="246" spans="1:13">
      <c r="A246" s="34" t="str">
        <f>'Final Project Dataset'!D246</f>
        <v>Edward Mitchell</v>
      </c>
      <c r="B246" s="34" t="str">
        <f t="shared" si="24"/>
        <v>Edward</v>
      </c>
      <c r="C246" s="34" t="str">
        <f t="shared" si="25"/>
        <v>Mitchell</v>
      </c>
      <c r="D246" s="34" t="str">
        <f t="shared" si="26"/>
        <v>E.M.</v>
      </c>
      <c r="E246" s="34" t="str">
        <f t="shared" si="27"/>
        <v>Edward M.</v>
      </c>
      <c r="F246" s="34" t="str">
        <f t="shared" si="28"/>
        <v>EDWARD MITCHELL</v>
      </c>
      <c r="G246" s="34" t="str">
        <f t="shared" si="29"/>
        <v>edward mitchell</v>
      </c>
      <c r="H246" s="34" t="str">
        <f t="shared" si="30"/>
        <v>Edward Mitchell</v>
      </c>
      <c r="I246" s="34">
        <f t="shared" si="31"/>
        <v>15</v>
      </c>
      <c r="J246" s="34" t="str">
        <f>IF('Final Project Dataset'!G246="Electronics","ELEC",IF('Final Project Dataset'!G246="Furniture","FURN",IF('Final Project Dataset'!G246="Appliances","APPL","")))</f>
        <v>ELEC</v>
      </c>
      <c r="K246" s="34" t="str">
        <f>IF('Final Project Dataset'!K246="North","N",IF('Final Project Dataset'!K246="South","S",IF('Final Project Dataset'!K246="East","E",IF('Final Project Dataset'!K246="West","W",IF('Final Project Dataset'!K246="Central","C","")))))</f>
        <v>C</v>
      </c>
      <c r="L246" s="34" t="str">
        <f>IF('Final Project Dataset'!L246="Premium","PREM",IF('Final Project Dataset'!L246="Standard","STND",IF('Final Project Dataset'!L246="Basic","BASC","")))</f>
        <v>STND</v>
      </c>
      <c r="M246" s="34" t="str">
        <f>IF('Final Project Dataset'!J246="Credit Card","CC",IF('Final Project Dataset'!J246="Debit Card","DC",IF('Final Project Dataset'!J246="PayPal","PP",IF('Final Project Dataset'!J246="Cash","CSH",""))))</f>
        <v>CSH</v>
      </c>
    </row>
    <row r="247" spans="1:13">
      <c r="A247" s="34" t="str">
        <f>'Final Project Dataset'!D247</f>
        <v>Virginia Sanders</v>
      </c>
      <c r="B247" s="34" t="str">
        <f t="shared" si="24"/>
        <v>Virginia</v>
      </c>
      <c r="C247" s="34" t="str">
        <f t="shared" si="25"/>
        <v>Sanders</v>
      </c>
      <c r="D247" s="34" t="str">
        <f t="shared" si="26"/>
        <v>V.S.</v>
      </c>
      <c r="E247" s="34" t="str">
        <f t="shared" si="27"/>
        <v>Virginia S.</v>
      </c>
      <c r="F247" s="34" t="str">
        <f t="shared" si="28"/>
        <v>VIRGINIA SANDERS</v>
      </c>
      <c r="G247" s="34" t="str">
        <f t="shared" si="29"/>
        <v>virginia sanders</v>
      </c>
      <c r="H247" s="34" t="str">
        <f t="shared" si="30"/>
        <v>Virginia Sanders</v>
      </c>
      <c r="I247" s="34">
        <f t="shared" si="31"/>
        <v>16</v>
      </c>
      <c r="J247" s="34" t="str">
        <f>IF('Final Project Dataset'!G247="Electronics","ELEC",IF('Final Project Dataset'!G247="Furniture","FURN",IF('Final Project Dataset'!G247="Appliances","APPL","")))</f>
        <v>APPL</v>
      </c>
      <c r="K247" s="34" t="str">
        <f>IF('Final Project Dataset'!K247="North","N",IF('Final Project Dataset'!K247="South","S",IF('Final Project Dataset'!K247="East","E",IF('Final Project Dataset'!K247="West","W",IF('Final Project Dataset'!K247="Central","C","")))))</f>
        <v>N</v>
      </c>
      <c r="L247" s="34" t="str">
        <f>IF('Final Project Dataset'!L247="Premium","PREM",IF('Final Project Dataset'!L247="Standard","STND",IF('Final Project Dataset'!L247="Basic","BASC","")))</f>
        <v>BASC</v>
      </c>
      <c r="M247" s="34" t="str">
        <f>IF('Final Project Dataset'!J247="Credit Card","CC",IF('Final Project Dataset'!J247="Debit Card","DC",IF('Final Project Dataset'!J247="PayPal","PP",IF('Final Project Dataset'!J247="Cash","CSH",""))))</f>
        <v>CC</v>
      </c>
    </row>
    <row r="248" spans="1:13">
      <c r="A248" s="34" t="str">
        <f>'Final Project Dataset'!D248</f>
        <v>Robert Thomas</v>
      </c>
      <c r="B248" s="34" t="str">
        <f t="shared" si="24"/>
        <v>Robert</v>
      </c>
      <c r="C248" s="34" t="str">
        <f t="shared" si="25"/>
        <v>Thomas</v>
      </c>
      <c r="D248" s="34" t="str">
        <f t="shared" si="26"/>
        <v>R.T.</v>
      </c>
      <c r="E248" s="34" t="str">
        <f t="shared" si="27"/>
        <v>Robert T.</v>
      </c>
      <c r="F248" s="34" t="str">
        <f t="shared" si="28"/>
        <v>ROBERT THOMAS</v>
      </c>
      <c r="G248" s="34" t="str">
        <f t="shared" si="29"/>
        <v>robert thomas</v>
      </c>
      <c r="H248" s="34" t="str">
        <f t="shared" si="30"/>
        <v>Robert Thomas</v>
      </c>
      <c r="I248" s="34">
        <f t="shared" si="31"/>
        <v>13</v>
      </c>
      <c r="J248" s="34" t="str">
        <f>IF('Final Project Dataset'!G248="Electronics","ELEC",IF('Final Project Dataset'!G248="Furniture","FURN",IF('Final Project Dataset'!G248="Appliances","APPL","")))</f>
        <v>ELEC</v>
      </c>
      <c r="K248" s="34" t="str">
        <f>IF('Final Project Dataset'!K248="North","N",IF('Final Project Dataset'!K248="South","S",IF('Final Project Dataset'!K248="East","E",IF('Final Project Dataset'!K248="West","W",IF('Final Project Dataset'!K248="Central","C","")))))</f>
        <v>E</v>
      </c>
      <c r="L248" s="34" t="str">
        <f>IF('Final Project Dataset'!L248="Premium","PREM",IF('Final Project Dataset'!L248="Standard","STND",IF('Final Project Dataset'!L248="Basic","BASC","")))</f>
        <v>BASC</v>
      </c>
      <c r="M248" s="34" t="str">
        <f>IF('Final Project Dataset'!J248="Credit Card","CC",IF('Final Project Dataset'!J248="Debit Card","DC",IF('Final Project Dataset'!J248="PayPal","PP",IF('Final Project Dataset'!J248="Cash","CSH",""))))</f>
        <v>DC</v>
      </c>
    </row>
    <row r="249" spans="1:13">
      <c r="A249" s="34" t="str">
        <f>'Final Project Dataset'!D249</f>
        <v>Douglas Watson</v>
      </c>
      <c r="B249" s="34" t="str">
        <f t="shared" si="24"/>
        <v>Douglas</v>
      </c>
      <c r="C249" s="34" t="str">
        <f t="shared" si="25"/>
        <v>Watson</v>
      </c>
      <c r="D249" s="34" t="str">
        <f t="shared" si="26"/>
        <v>D.W.</v>
      </c>
      <c r="E249" s="34" t="str">
        <f t="shared" si="27"/>
        <v>Douglas W.</v>
      </c>
      <c r="F249" s="34" t="str">
        <f t="shared" si="28"/>
        <v>DOUGLAS WATSON</v>
      </c>
      <c r="G249" s="34" t="str">
        <f t="shared" si="29"/>
        <v>douglas watson</v>
      </c>
      <c r="H249" s="34" t="str">
        <f t="shared" si="30"/>
        <v>Douglas Watson</v>
      </c>
      <c r="I249" s="34">
        <f t="shared" si="31"/>
        <v>14</v>
      </c>
      <c r="J249" s="34" t="str">
        <f>IF('Final Project Dataset'!G249="Electronics","ELEC",IF('Final Project Dataset'!G249="Furniture","FURN",IF('Final Project Dataset'!G249="Appliances","APPL","")))</f>
        <v>ELEC</v>
      </c>
      <c r="K249" s="34" t="str">
        <f>IF('Final Project Dataset'!K249="North","N",IF('Final Project Dataset'!K249="South","S",IF('Final Project Dataset'!K249="East","E",IF('Final Project Dataset'!K249="West","W",IF('Final Project Dataset'!K249="Central","C","")))))</f>
        <v>N</v>
      </c>
      <c r="L249" s="34" t="str">
        <f>IF('Final Project Dataset'!L249="Premium","PREM",IF('Final Project Dataset'!L249="Standard","STND",IF('Final Project Dataset'!L249="Basic","BASC","")))</f>
        <v>BASC</v>
      </c>
      <c r="M249" s="34" t="str">
        <f>IF('Final Project Dataset'!J249="Credit Card","CC",IF('Final Project Dataset'!J249="Debit Card","DC",IF('Final Project Dataset'!J249="PayPal","PP",IF('Final Project Dataset'!J249="Cash","CSH",""))))</f>
        <v>PP</v>
      </c>
    </row>
    <row r="250" spans="1:13">
      <c r="A250" s="34" t="str">
        <f>'Final Project Dataset'!D250</f>
        <v>Lawrence Reed</v>
      </c>
      <c r="B250" s="34" t="str">
        <f t="shared" si="24"/>
        <v>Lawrence</v>
      </c>
      <c r="C250" s="34" t="str">
        <f t="shared" si="25"/>
        <v>Reed</v>
      </c>
      <c r="D250" s="34" t="str">
        <f t="shared" si="26"/>
        <v>L.R.</v>
      </c>
      <c r="E250" s="34" t="str">
        <f t="shared" si="27"/>
        <v>Lawrence R.</v>
      </c>
      <c r="F250" s="34" t="str">
        <f t="shared" si="28"/>
        <v>LAWRENCE REED</v>
      </c>
      <c r="G250" s="34" t="str">
        <f t="shared" si="29"/>
        <v>lawrence reed</v>
      </c>
      <c r="H250" s="34" t="str">
        <f t="shared" si="30"/>
        <v>Lawrence Reed</v>
      </c>
      <c r="I250" s="34">
        <f t="shared" si="31"/>
        <v>13</v>
      </c>
      <c r="J250" s="34" t="str">
        <f>IF('Final Project Dataset'!G250="Electronics","ELEC",IF('Final Project Dataset'!G250="Furniture","FURN",IF('Final Project Dataset'!G250="Appliances","APPL","")))</f>
        <v>ELEC</v>
      </c>
      <c r="K250" s="34" t="str">
        <f>IF('Final Project Dataset'!K250="North","N",IF('Final Project Dataset'!K250="South","S",IF('Final Project Dataset'!K250="East","E",IF('Final Project Dataset'!K250="West","W",IF('Final Project Dataset'!K250="Central","C","")))))</f>
        <v>E</v>
      </c>
      <c r="L250" s="34" t="str">
        <f>IF('Final Project Dataset'!L250="Premium","PREM",IF('Final Project Dataset'!L250="Standard","STND",IF('Final Project Dataset'!L250="Basic","BASC","")))</f>
        <v>BASC</v>
      </c>
      <c r="M250" s="34" t="str">
        <f>IF('Final Project Dataset'!J250="Credit Card","CC",IF('Final Project Dataset'!J250="Debit Card","DC",IF('Final Project Dataset'!J250="PayPal","PP",IF('Final Project Dataset'!J250="Cash","CSH",""))))</f>
        <v>DC</v>
      </c>
    </row>
    <row r="251" spans="1:13">
      <c r="A251" s="34" t="str">
        <f>'Final Project Dataset'!D251</f>
        <v>Steven Turner</v>
      </c>
      <c r="B251" s="34" t="str">
        <f t="shared" si="24"/>
        <v>Steven</v>
      </c>
      <c r="C251" s="34" t="str">
        <f t="shared" si="25"/>
        <v>Turner</v>
      </c>
      <c r="D251" s="34" t="str">
        <f t="shared" si="26"/>
        <v>S.T.</v>
      </c>
      <c r="E251" s="34" t="str">
        <f t="shared" si="27"/>
        <v>Steven T.</v>
      </c>
      <c r="F251" s="34" t="str">
        <f t="shared" si="28"/>
        <v>STEVEN TURNER</v>
      </c>
      <c r="G251" s="34" t="str">
        <f t="shared" si="29"/>
        <v>steven turner</v>
      </c>
      <c r="H251" s="34" t="str">
        <f t="shared" si="30"/>
        <v>Steven Turner</v>
      </c>
      <c r="I251" s="34">
        <f t="shared" si="31"/>
        <v>13</v>
      </c>
      <c r="J251" s="34" t="str">
        <f>IF('Final Project Dataset'!G251="Electronics","ELEC",IF('Final Project Dataset'!G251="Furniture","FURN",IF('Final Project Dataset'!G251="Appliances","APPL","")))</f>
        <v>ELEC</v>
      </c>
      <c r="K251" s="34" t="str">
        <f>IF('Final Project Dataset'!K251="North","N",IF('Final Project Dataset'!K251="South","S",IF('Final Project Dataset'!K251="East","E",IF('Final Project Dataset'!K251="West","W",IF('Final Project Dataset'!K251="Central","C","")))))</f>
        <v>N</v>
      </c>
      <c r="L251" s="34" t="str">
        <f>IF('Final Project Dataset'!L251="Premium","PREM",IF('Final Project Dataset'!L251="Standard","STND",IF('Final Project Dataset'!L251="Basic","BASC","")))</f>
        <v>PREM</v>
      </c>
      <c r="M251" s="34" t="str">
        <f>IF('Final Project Dataset'!J251="Credit Card","CC",IF('Final Project Dataset'!J251="Debit Card","DC",IF('Final Project Dataset'!J251="PayPal","PP",IF('Final Project Dataset'!J251="Cash","CSH",""))))</f>
        <v>DC</v>
      </c>
    </row>
  </sheetData>
  <mergeCells count="1">
    <mergeCell ref="O1:P1"/>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B3E7-67DE-441D-B065-CA39203184C0}">
  <dimension ref="A1:H38"/>
  <sheetViews>
    <sheetView view="pageBreakPreview" zoomScale="60" zoomScaleNormal="88" workbookViewId="0">
      <selection sqref="A1:B1"/>
    </sheetView>
  </sheetViews>
  <sheetFormatPr defaultRowHeight="14.4"/>
  <cols>
    <col min="1" max="1" width="29.5546875" customWidth="1"/>
    <col min="2" max="2" width="19" customWidth="1"/>
    <col min="3" max="3" width="8.88671875" customWidth="1"/>
    <col min="4" max="4" width="21.77734375" customWidth="1"/>
    <col min="5" max="5" width="18.88671875" customWidth="1"/>
    <col min="7" max="7" width="22" customWidth="1"/>
    <col min="8" max="8" width="14.5546875" customWidth="1"/>
  </cols>
  <sheetData>
    <row r="1" spans="1:8" ht="15.6">
      <c r="A1" s="132" t="s">
        <v>601</v>
      </c>
      <c r="B1" s="134"/>
    </row>
    <row r="2" spans="1:8">
      <c r="A2" s="106" t="s">
        <v>603</v>
      </c>
      <c r="B2" s="106" t="s">
        <v>604</v>
      </c>
    </row>
    <row r="3" spans="1:8">
      <c r="A3" s="106" t="s">
        <v>602</v>
      </c>
      <c r="B3" s="36">
        <f ca="1">TODAY()</f>
        <v>46171</v>
      </c>
    </row>
    <row r="4" spans="1:8">
      <c r="A4" s="106" t="s">
        <v>605</v>
      </c>
      <c r="B4" s="34">
        <f>COUNTA('Final Project Dataset'!A2:A251)</f>
        <v>250</v>
      </c>
    </row>
    <row r="6" spans="1:8">
      <c r="A6" s="131" t="s">
        <v>606</v>
      </c>
      <c r="B6" s="131"/>
      <c r="D6" s="131" t="s">
        <v>612</v>
      </c>
      <c r="E6" s="131"/>
      <c r="G6" s="131" t="s">
        <v>620</v>
      </c>
      <c r="H6" s="131"/>
    </row>
    <row r="7" spans="1:8">
      <c r="A7" s="121" t="s">
        <v>480</v>
      </c>
      <c r="B7" s="122">
        <f>SUM('Final Project Dataset'!N2:N251)</f>
        <v>229192.47000000032</v>
      </c>
      <c r="D7" s="34" t="s">
        <v>613</v>
      </c>
      <c r="E7" s="34">
        <f>SUMIF('Final Project Dataset'!G2:G251,"Electronics",'Final Project Dataset'!N2:N251)</f>
        <v>171756.05000000013</v>
      </c>
      <c r="G7" s="112" t="s">
        <v>621</v>
      </c>
      <c r="H7" s="112">
        <f>SUMIF('Final Project Dataset'!K2:K251,"North",'Final Project Dataset'!N2:N251)</f>
        <v>50808.310000000012</v>
      </c>
    </row>
    <row r="8" spans="1:8">
      <c r="A8" s="106" t="s">
        <v>527</v>
      </c>
      <c r="B8" s="109">
        <f>COUNTA('Final Project Dataset'!A2:A251)</f>
        <v>250</v>
      </c>
      <c r="D8" s="34" t="s">
        <v>614</v>
      </c>
      <c r="E8" s="34">
        <f>SUMIF('Final Project Dataset'!G2:G251,"Furniture",'Final Project Dataset'!N2:N251)</f>
        <v>49097.680000000015</v>
      </c>
      <c r="G8" s="22" t="s">
        <v>622</v>
      </c>
      <c r="H8" s="34">
        <f>SUMIF('Final Project Dataset'!K2:K251,"South",'Final Project Dataset'!N2:N251)</f>
        <v>36398.750000000007</v>
      </c>
    </row>
    <row r="9" spans="1:8">
      <c r="A9" s="106" t="s">
        <v>529</v>
      </c>
      <c r="B9" s="109">
        <f>AVERAGE('Final Project Dataset'!N2:N251)</f>
        <v>916.76988000000131</v>
      </c>
      <c r="D9" s="34" t="s">
        <v>615</v>
      </c>
      <c r="E9" s="34">
        <f>SUMIF('Final Project Dataset'!G2:G251,"Appliances",'Final Project Dataset'!N2:N251)</f>
        <v>8338.7399999999961</v>
      </c>
      <c r="G9" s="112" t="s">
        <v>623</v>
      </c>
      <c r="H9" s="34">
        <f>SUMIF('Final Project Dataset'!K2:K251,"East",'Final Project Dataset'!N2:N251)</f>
        <v>59288.389999999992</v>
      </c>
    </row>
    <row r="10" spans="1:8">
      <c r="A10" s="106" t="s">
        <v>607</v>
      </c>
      <c r="B10" s="109">
        <f>MAX('Final Project Dataset'!N2:N251)</f>
        <v>4499.95</v>
      </c>
      <c r="D10" s="34" t="s">
        <v>616</v>
      </c>
      <c r="E10" s="34" t="str">
        <f>INDEX(D7:D9,MATCH(MAX(E7:E9),E7:E9,0))</f>
        <v>Electronics Revenue</v>
      </c>
      <c r="G10" s="112" t="s">
        <v>626</v>
      </c>
      <c r="H10" s="34">
        <f>SUMIF('Final Project Dataset'!K2:K251,"West",'Final Project Dataset'!N2:N251)</f>
        <v>41408.680000000015</v>
      </c>
    </row>
    <row r="11" spans="1:8">
      <c r="A11" s="106" t="s">
        <v>608</v>
      </c>
      <c r="B11" s="109">
        <f>MIN('Final Project Dataset'!N2:N251)</f>
        <v>59.99</v>
      </c>
      <c r="D11" s="34" t="s">
        <v>617</v>
      </c>
      <c r="E11" s="111" t="str">
        <f>TEXT(E7/SUM(E7:E9)*100,"0.00")&amp;"%"</f>
        <v>74.94%</v>
      </c>
      <c r="G11" s="112" t="s">
        <v>624</v>
      </c>
      <c r="H11" s="34">
        <f>SUMIF('Final Project Dataset'!K2:K251,"Central",'Final Project Dataset'!N2:N251)</f>
        <v>41288.340000000018</v>
      </c>
    </row>
    <row r="12" spans="1:8">
      <c r="A12" s="106" t="s">
        <v>609</v>
      </c>
      <c r="B12" s="37" cm="1">
        <f t="array" ref="B12">SUMPRODUCT(1/COUNTIF('Final Project Dataset'!C2:C251,'Final Project Dataset'!C2:C251))</f>
        <v>50.000000000000028</v>
      </c>
      <c r="D12" s="34" t="s">
        <v>618</v>
      </c>
      <c r="E12" s="34" t="str">
        <f>TEXT(E8/SUM(E7:E9)*100,"0.00")&amp;"%"</f>
        <v>21.42%</v>
      </c>
      <c r="G12" s="112" t="s">
        <v>540</v>
      </c>
      <c r="H12" s="34" t="str">
        <f>INDEX(G7:G11,MATCH(MAX(H7:H11),H7:H11,0))</f>
        <v>East Revenue</v>
      </c>
    </row>
    <row r="13" spans="1:8">
      <c r="A13" s="106" t="s">
        <v>610</v>
      </c>
      <c r="B13" s="110">
        <f>MIN('Final Project Dataset'!B2:B251)</f>
        <v>45393</v>
      </c>
      <c r="D13" s="34" t="s">
        <v>619</v>
      </c>
      <c r="E13" s="34" t="str">
        <f>TEXT(E9/SUM(E7:E9)*100,"0.00")&amp;"%"</f>
        <v>3.64%</v>
      </c>
      <c r="G13" s="112" t="s">
        <v>625</v>
      </c>
      <c r="H13" s="34" t="str">
        <f>INDEX(G7:G11,MATCH(MIN(H7:H11),H7:H11,0))</f>
        <v>South Revenue</v>
      </c>
    </row>
    <row r="14" spans="1:8">
      <c r="A14" s="106" t="s">
        <v>611</v>
      </c>
      <c r="B14" s="110">
        <f>MAX('Final Project Dataset'!B2:B251)</f>
        <v>45758</v>
      </c>
    </row>
    <row r="16" spans="1:8">
      <c r="A16" s="131" t="s">
        <v>627</v>
      </c>
      <c r="B16" s="131"/>
      <c r="D16" s="131" t="s">
        <v>631</v>
      </c>
      <c r="E16" s="133"/>
      <c r="G16" s="131" t="s">
        <v>635</v>
      </c>
      <c r="H16" s="133"/>
    </row>
    <row r="17" spans="1:8">
      <c r="A17" s="112" t="s">
        <v>628</v>
      </c>
      <c r="B17" s="34">
        <f>SUMIF('Final Project Dataset'!L2:L251,"Premium",'Final Project Dataset'!N2:N251)</f>
        <v>84657.12000000001</v>
      </c>
      <c r="D17" s="112" t="s">
        <v>543</v>
      </c>
      <c r="E17" s="34" t="str">
        <f>Task_9FP!H2</f>
        <v>Keyboard</v>
      </c>
      <c r="G17" s="112" t="s">
        <v>636</v>
      </c>
      <c r="H17" s="34">
        <f>COUNTIF('Final Project Dataset'!J2:J251,"Cash")</f>
        <v>76</v>
      </c>
    </row>
    <row r="18" spans="1:8">
      <c r="A18" s="112" t="s">
        <v>629</v>
      </c>
      <c r="B18" s="112">
        <f>SUMIF('Final Project Dataset'!L2:L251,"Standard",'Final Project Dataset'!N2:N251)</f>
        <v>82357.540000000037</v>
      </c>
      <c r="D18" s="112" t="s">
        <v>632</v>
      </c>
      <c r="E18" s="34">
        <f>Task_9FP!H3</f>
        <v>34</v>
      </c>
      <c r="G18" s="112" t="s">
        <v>637</v>
      </c>
      <c r="H18" s="34">
        <f>COUNTIF('Final Project Dataset'!J2:J251,"Credit Card")</f>
        <v>68</v>
      </c>
    </row>
    <row r="19" spans="1:8">
      <c r="A19" s="112" t="s">
        <v>630</v>
      </c>
      <c r="B19" s="34">
        <f>SUMIF('Final Project Dataset'!L2:L251,"Basic",'Final Project Dataset'!N2:N251)</f>
        <v>62177.810000000019</v>
      </c>
      <c r="D19" s="112" t="s">
        <v>633</v>
      </c>
      <c r="E19" s="34" t="str">
        <f>Task_9FP!H4</f>
        <v>Coffee Maker</v>
      </c>
      <c r="G19" s="112" t="s">
        <v>638</v>
      </c>
      <c r="H19" s="34">
        <f>COUNTIF('Final Project Dataset'!J2:J251,"Debit Card")</f>
        <v>54</v>
      </c>
    </row>
    <row r="20" spans="1:8">
      <c r="A20" s="112" t="s">
        <v>541</v>
      </c>
      <c r="B20" s="34" t="str" cm="1">
        <f t="array" ref="B20">INDEX({"Premium","Standard","Basic"},MATCH(MAX(B17:B19),B17:B19,0))</f>
        <v>Premium</v>
      </c>
      <c r="D20" s="112" t="s">
        <v>634</v>
      </c>
      <c r="E20" s="34">
        <f>Task_9FP!H5</f>
        <v>14</v>
      </c>
      <c r="G20" s="112" t="s">
        <v>639</v>
      </c>
      <c r="H20" s="34">
        <f>COUNTIF('Final Project Dataset'!J2:J251,"PayPal")</f>
        <v>52</v>
      </c>
    </row>
    <row r="21" spans="1:8">
      <c r="A21" s="112" t="s">
        <v>555</v>
      </c>
      <c r="B21" s="34" t="str">
        <f>'Task_8 HVC'!L8</f>
        <v>Mark Carter</v>
      </c>
      <c r="D21" s="112" t="s">
        <v>568</v>
      </c>
      <c r="E21" s="34" t="str">
        <f>Task_9FP!H6</f>
        <v>Laptop</v>
      </c>
      <c r="G21" s="112" t="s">
        <v>542</v>
      </c>
      <c r="H21" s="34" t="str" cm="1">
        <f t="array" ref="H21">INDEX({"Cash","Credit Card","Debit Card","PayPal"},MATCH(MAX(H17:H20),H17:H20,0))</f>
        <v>Cash</v>
      </c>
    </row>
    <row r="22" spans="1:8">
      <c r="A22" s="112" t="s">
        <v>556</v>
      </c>
      <c r="B22" s="22">
        <f>'Task_8 HVC'!L9</f>
        <v>15659.65</v>
      </c>
      <c r="D22" s="112" t="s">
        <v>569</v>
      </c>
      <c r="E22" s="34">
        <f>Task_9FP!H7</f>
        <v>67499.25</v>
      </c>
    </row>
    <row r="25" spans="1:8">
      <c r="A25" s="131" t="s">
        <v>640</v>
      </c>
      <c r="B25" s="135"/>
      <c r="C25" s="135"/>
      <c r="D25" s="135"/>
    </row>
    <row r="26" spans="1:8">
      <c r="A26" s="113" t="s">
        <v>641</v>
      </c>
      <c r="B26" s="133" t="str">
        <f>"Electronics is the top category with "&amp;TEXT(SUMIF('Final Project Dataset'!G2:G251,"Electronics",'Final Project Dataset'!N2:N251),"₹ #,##0")&amp;" in revenue"</f>
        <v>Electronics is the top category with ₹ 1,71,756 in revenue</v>
      </c>
      <c r="C26" s="133"/>
      <c r="D26" s="133"/>
    </row>
    <row r="27" spans="1:8">
      <c r="A27" s="113" t="s">
        <v>642</v>
      </c>
      <c r="B27" s="133" t="str" cm="1">
        <f t="array" ref="B27">"Best performing region is "&amp;INDEX({"North","South","East","West","Central"},MATCH(MAX(SUMIF('Final Project Dataset'!K2:K251,{"North","South","East","West","Central"},'Final Project Dataset'!N2:N251)),SUMIF('Final Project Dataset'!K2:K251,{"North","South","East","West","Central"},'Final Project Dataset'!N2:N251),0))&amp;" region"</f>
        <v>Best performing region is East region</v>
      </c>
      <c r="C27" s="133"/>
      <c r="D27" s="133"/>
    </row>
    <row r="28" spans="1:8">
      <c r="A28" s="37" t="s">
        <v>643</v>
      </c>
      <c r="B28" s="133" t="str">
        <f>"Premium customers contribute "&amp;TEXT(SUMIF('Final Project Dataset'!L2:L251,"Premium",'Final Project Dataset'!N2:N251)/SUM('Final Project Dataset'!N2:N251)*100,"0.00")&amp;"% of total revenue"</f>
        <v>Premium customers contribute 36.94% of total revenue</v>
      </c>
      <c r="C28" s="133"/>
      <c r="D28" s="133"/>
    </row>
    <row r="29" spans="1:8">
      <c r="A29" s="37" t="s">
        <v>644</v>
      </c>
      <c r="B29" s="133" t="str" cm="1">
        <f t="array" ref="B29">"Most popular payment method is "&amp;INDEX({"Cash","Credit Card","Debit Card","PayPal"},MATCH(MAX(COUNTIF('Final Project Dataset'!J2:J251,{"Cash","Credit Card","Debit Card","PayPal"})),COUNTIF('Final Project Dataset'!J2:J251,{"Cash","Credit Card","Debit Card","PayPal"}),0))</f>
        <v>Most popular payment method is Cash</v>
      </c>
      <c r="C29" s="133"/>
      <c r="D29" s="133"/>
    </row>
    <row r="30" spans="1:8">
      <c r="A30" s="113" t="s">
        <v>645</v>
      </c>
      <c r="B30" s="133" t="str" cm="1">
        <f t="array" ref="B30">"Most purchased product is "&amp;INDEX('Final Project Dataset'!F2:F251,MATCH(MAX(COUNTIF('Final Project Dataset'!F2:F251,'Final Project Dataset'!F2:F251)),COUNTIF('Final Project Dataset'!F2:F251,'Final Project Dataset'!F2:F251),0))</f>
        <v>Most purchased product is Bookshelf</v>
      </c>
      <c r="C30" s="133"/>
      <c r="D30" s="133"/>
    </row>
    <row r="33" spans="1:4">
      <c r="A33" s="138" t="s">
        <v>646</v>
      </c>
      <c r="B33" s="139"/>
      <c r="C33" s="139"/>
      <c r="D33" s="140"/>
    </row>
    <row r="34" spans="1:4">
      <c r="A34" s="141" t="s">
        <v>647</v>
      </c>
      <c r="B34" s="142"/>
      <c r="C34" s="142"/>
      <c r="D34" s="143"/>
    </row>
    <row r="35" spans="1:4">
      <c r="A35" s="136" t="s">
        <v>648</v>
      </c>
      <c r="B35" s="137"/>
      <c r="C35" s="137"/>
      <c r="D35" s="137"/>
    </row>
    <row r="36" spans="1:4">
      <c r="A36" s="136" t="s">
        <v>649</v>
      </c>
      <c r="B36" s="137"/>
      <c r="C36" s="137"/>
      <c r="D36" s="137"/>
    </row>
    <row r="37" spans="1:4">
      <c r="A37" s="136" t="s">
        <v>650</v>
      </c>
      <c r="B37" s="137"/>
      <c r="C37" s="137"/>
      <c r="D37" s="137"/>
    </row>
    <row r="38" spans="1:4">
      <c r="A38" s="136" t="s">
        <v>651</v>
      </c>
      <c r="B38" s="137"/>
      <c r="C38" s="137"/>
      <c r="D38" s="137"/>
    </row>
  </sheetData>
  <mergeCells count="19">
    <mergeCell ref="A36:D36"/>
    <mergeCell ref="A37:D37"/>
    <mergeCell ref="A38:D38"/>
    <mergeCell ref="A34:D34"/>
    <mergeCell ref="B30:D30"/>
    <mergeCell ref="A25:D25"/>
    <mergeCell ref="A35:D35"/>
    <mergeCell ref="A33:D33"/>
    <mergeCell ref="B26:D26"/>
    <mergeCell ref="B27:D27"/>
    <mergeCell ref="B28:D28"/>
    <mergeCell ref="B29:D29"/>
    <mergeCell ref="A1:B1"/>
    <mergeCell ref="A6:B6"/>
    <mergeCell ref="D6:E6"/>
    <mergeCell ref="G6:H6"/>
    <mergeCell ref="A16:B16"/>
    <mergeCell ref="D16:E16"/>
    <mergeCell ref="G16:H16"/>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F7F0B-431F-4F96-A6C1-E988D4F1E813}">
  <dimension ref="A3:C53"/>
  <sheetViews>
    <sheetView view="pageBreakPreview" zoomScale="60" zoomScaleNormal="62" workbookViewId="0">
      <selection activeCell="N27" sqref="N27"/>
    </sheetView>
  </sheetViews>
  <sheetFormatPr defaultRowHeight="14.4"/>
  <cols>
    <col min="1" max="1" width="12.44140625" bestFit="1" customWidth="1"/>
    <col min="2" max="3" width="22.88671875" bestFit="1" customWidth="1"/>
    <col min="4" max="6" width="19.77734375" bestFit="1" customWidth="1"/>
  </cols>
  <sheetData>
    <row r="3" spans="1:2">
      <c r="A3" s="114" t="s">
        <v>7</v>
      </c>
      <c r="B3" t="s">
        <v>653</v>
      </c>
    </row>
    <row r="4" spans="1:2">
      <c r="A4" t="s">
        <v>34</v>
      </c>
      <c r="B4" s="145">
        <v>8338.7399999999961</v>
      </c>
    </row>
    <row r="5" spans="1:2">
      <c r="A5" t="s">
        <v>20</v>
      </c>
      <c r="B5" s="145">
        <v>171756.05000000013</v>
      </c>
    </row>
    <row r="6" spans="1:2">
      <c r="A6" t="s">
        <v>47</v>
      </c>
      <c r="B6" s="145">
        <v>49097.680000000015</v>
      </c>
    </row>
    <row r="7" spans="1:2">
      <c r="A7" t="s">
        <v>652</v>
      </c>
      <c r="B7" s="145">
        <v>229192.47000000015</v>
      </c>
    </row>
    <row r="10" spans="1:2">
      <c r="A10" s="114" t="s">
        <v>11</v>
      </c>
      <c r="B10" t="s">
        <v>653</v>
      </c>
    </row>
    <row r="11" spans="1:2">
      <c r="A11" t="s">
        <v>64</v>
      </c>
      <c r="B11" s="145">
        <v>59288.389999999992</v>
      </c>
    </row>
    <row r="12" spans="1:2">
      <c r="A12" t="s">
        <v>41</v>
      </c>
      <c r="B12" s="145">
        <v>50808.310000000012</v>
      </c>
    </row>
    <row r="13" spans="1:2">
      <c r="A13" t="s">
        <v>51</v>
      </c>
      <c r="B13" s="145">
        <v>41408.680000000015</v>
      </c>
    </row>
    <row r="14" spans="1:2">
      <c r="A14" t="s">
        <v>22</v>
      </c>
      <c r="B14" s="145">
        <v>41288.340000000018</v>
      </c>
    </row>
    <row r="15" spans="1:2">
      <c r="A15" t="s">
        <v>36</v>
      </c>
      <c r="B15" s="145">
        <v>36398.750000000007</v>
      </c>
    </row>
    <row r="16" spans="1:2">
      <c r="A16" t="s">
        <v>652</v>
      </c>
      <c r="B16" s="145">
        <v>229192.47000000006</v>
      </c>
    </row>
    <row r="19" spans="1:3">
      <c r="A19" s="114" t="s">
        <v>655</v>
      </c>
      <c r="B19" s="114" t="s">
        <v>654</v>
      </c>
      <c r="C19" t="s">
        <v>653</v>
      </c>
    </row>
    <row r="20" spans="1:3">
      <c r="A20" t="s">
        <v>656</v>
      </c>
      <c r="C20" s="145">
        <v>25799.15</v>
      </c>
    </row>
    <row r="21" spans="1:3">
      <c r="A21" t="s">
        <v>657</v>
      </c>
      <c r="C21" s="145">
        <v>16069.379999999997</v>
      </c>
    </row>
    <row r="22" spans="1:3">
      <c r="A22" t="s">
        <v>658</v>
      </c>
      <c r="C22" s="145">
        <v>19899.379999999997</v>
      </c>
    </row>
    <row r="23" spans="1:3">
      <c r="A23" t="s">
        <v>659</v>
      </c>
      <c r="C23" s="145">
        <v>27899.160000000007</v>
      </c>
    </row>
    <row r="24" spans="1:3">
      <c r="A24" t="s">
        <v>660</v>
      </c>
      <c r="C24" s="145">
        <v>17039.349999999999</v>
      </c>
    </row>
    <row r="25" spans="1:3">
      <c r="A25" t="s">
        <v>661</v>
      </c>
      <c r="C25" s="145">
        <v>19299.45</v>
      </c>
    </row>
    <row r="26" spans="1:3">
      <c r="A26" t="s">
        <v>662</v>
      </c>
      <c r="C26" s="145">
        <v>18479.399999999994</v>
      </c>
    </row>
    <row r="27" spans="1:3">
      <c r="A27" t="s">
        <v>663</v>
      </c>
      <c r="C27" s="145">
        <v>15759.429999999997</v>
      </c>
    </row>
    <row r="28" spans="1:3">
      <c r="A28" t="s">
        <v>664</v>
      </c>
      <c r="C28" s="145">
        <v>12989.509999999997</v>
      </c>
    </row>
    <row r="29" spans="1:3">
      <c r="A29" t="s">
        <v>665</v>
      </c>
      <c r="C29" s="145">
        <v>20609.52</v>
      </c>
    </row>
    <row r="30" spans="1:3">
      <c r="A30" t="s">
        <v>666</v>
      </c>
      <c r="C30" s="145">
        <v>12309.439999999999</v>
      </c>
    </row>
    <row r="31" spans="1:3">
      <c r="A31" t="s">
        <v>667</v>
      </c>
      <c r="C31" s="145">
        <v>23039.3</v>
      </c>
    </row>
    <row r="32" spans="1:3">
      <c r="A32" t="s">
        <v>652</v>
      </c>
      <c r="C32" s="145">
        <v>229192.47</v>
      </c>
    </row>
    <row r="35" spans="1:2">
      <c r="A35" s="114" t="s">
        <v>6</v>
      </c>
      <c r="B35" t="s">
        <v>653</v>
      </c>
    </row>
    <row r="36" spans="1:2">
      <c r="A36" t="s">
        <v>63</v>
      </c>
      <c r="B36" s="145">
        <v>67499.25</v>
      </c>
    </row>
    <row r="37" spans="1:2">
      <c r="A37" t="s">
        <v>82</v>
      </c>
      <c r="B37" s="145">
        <v>67199.039999999994</v>
      </c>
    </row>
    <row r="38" spans="1:2">
      <c r="A38" t="s">
        <v>107</v>
      </c>
      <c r="B38" s="145">
        <v>23399.22</v>
      </c>
    </row>
    <row r="39" spans="1:2">
      <c r="A39" t="s">
        <v>19</v>
      </c>
      <c r="B39" s="145">
        <v>21999.119999999999</v>
      </c>
    </row>
    <row r="40" spans="1:2">
      <c r="A40" t="s">
        <v>46</v>
      </c>
      <c r="B40" s="145">
        <v>15298.979999999994</v>
      </c>
    </row>
    <row r="41" spans="1:2">
      <c r="A41" t="s">
        <v>128</v>
      </c>
      <c r="B41" s="145">
        <v>10399.479999999998</v>
      </c>
    </row>
    <row r="42" spans="1:2">
      <c r="A42" t="s">
        <v>119</v>
      </c>
      <c r="B42" s="145">
        <v>8009.1099999999969</v>
      </c>
    </row>
    <row r="43" spans="1:2">
      <c r="A43" t="s">
        <v>54</v>
      </c>
      <c r="B43" s="145">
        <v>7049.5299999999988</v>
      </c>
    </row>
    <row r="44" spans="1:2">
      <c r="A44" t="s">
        <v>33</v>
      </c>
      <c r="B44" s="145">
        <v>5219.1299999999974</v>
      </c>
    </row>
    <row r="45" spans="1:2">
      <c r="A45" t="s">
        <v>116</v>
      </c>
      <c r="B45" s="145">
        <v>3119.6099999999992</v>
      </c>
    </row>
    <row r="46" spans="1:2">
      <c r="A46" t="s">
        <v>652</v>
      </c>
      <c r="B46" s="145">
        <v>229192.46999999997</v>
      </c>
    </row>
    <row r="49" spans="1:2">
      <c r="A49" s="114" t="s">
        <v>12</v>
      </c>
      <c r="B49" t="s">
        <v>653</v>
      </c>
    </row>
    <row r="50" spans="1:2">
      <c r="A50" t="s">
        <v>23</v>
      </c>
      <c r="B50" s="145">
        <v>62177.810000000019</v>
      </c>
    </row>
    <row r="51" spans="1:2">
      <c r="A51" t="s">
        <v>28</v>
      </c>
      <c r="B51" s="145">
        <v>84657.12000000001</v>
      </c>
    </row>
    <row r="52" spans="1:2">
      <c r="A52" t="s">
        <v>37</v>
      </c>
      <c r="B52" s="145">
        <v>82357.540000000037</v>
      </c>
    </row>
    <row r="53" spans="1:2">
      <c r="A53" t="s">
        <v>652</v>
      </c>
      <c r="B53" s="145">
        <v>229192.47000000006</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1A817-F4FD-4416-92EC-657C2E8F46CA}">
  <sheetPr>
    <pageSetUpPr autoPageBreaks="0"/>
  </sheetPr>
  <dimension ref="A1:AZ83"/>
  <sheetViews>
    <sheetView showGridLines="0" tabSelected="1" zoomScale="35" zoomScaleNormal="35" zoomScaleSheetLayoutView="29" workbookViewId="0">
      <selection activeCell="AY21" sqref="AY21"/>
    </sheetView>
  </sheetViews>
  <sheetFormatPr defaultRowHeight="14.4"/>
  <cols>
    <col min="16" max="16" width="9.109375" customWidth="1"/>
    <col min="35" max="35" width="4.77734375" customWidth="1"/>
    <col min="45" max="45" width="8.6640625" customWidth="1"/>
  </cols>
  <sheetData>
    <row r="1" spans="1:44" ht="14.4" customHeight="1">
      <c r="A1" s="144"/>
      <c r="B1" s="144"/>
      <c r="C1" s="144"/>
      <c r="D1" s="144"/>
      <c r="E1" s="146" t="s">
        <v>673</v>
      </c>
      <c r="F1" s="147"/>
      <c r="G1" s="147"/>
      <c r="H1" s="147"/>
      <c r="I1" s="147"/>
      <c r="J1" s="147"/>
      <c r="K1" s="147"/>
      <c r="L1" s="147"/>
      <c r="M1" s="147"/>
      <c r="N1" s="147"/>
      <c r="O1" s="147"/>
      <c r="P1" s="147"/>
      <c r="Q1" s="147"/>
      <c r="R1" s="147"/>
      <c r="S1" s="147"/>
      <c r="T1" s="147"/>
      <c r="U1" s="147"/>
      <c r="V1" s="147"/>
      <c r="W1" s="147"/>
      <c r="X1" s="147"/>
      <c r="Y1" s="147"/>
      <c r="Z1" s="147"/>
      <c r="AA1" s="147"/>
      <c r="AB1" s="147"/>
      <c r="AC1" s="147"/>
      <c r="AD1" s="147"/>
      <c r="AE1" s="147"/>
      <c r="AF1" s="147"/>
      <c r="AG1" s="147"/>
      <c r="AH1" s="147"/>
      <c r="AI1" s="147"/>
      <c r="AJ1" s="147"/>
      <c r="AK1" s="147"/>
      <c r="AL1" s="147"/>
      <c r="AM1" s="147"/>
      <c r="AN1" s="147"/>
      <c r="AO1" s="148"/>
      <c r="AP1" s="148"/>
      <c r="AQ1" s="149"/>
      <c r="AR1" s="144"/>
    </row>
    <row r="2" spans="1:44" ht="14.4" customHeight="1">
      <c r="A2" s="144"/>
      <c r="B2" s="144"/>
      <c r="C2" s="144"/>
      <c r="D2" s="144"/>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8"/>
      <c r="AP2" s="148"/>
      <c r="AQ2" s="149"/>
      <c r="AR2" s="144"/>
    </row>
    <row r="3" spans="1:44" ht="14.4" customHeight="1">
      <c r="A3" s="144"/>
      <c r="B3" s="144"/>
      <c r="C3" s="144"/>
      <c r="D3" s="144"/>
      <c r="E3" s="147"/>
      <c r="F3" s="147"/>
      <c r="G3" s="147"/>
      <c r="H3" s="147"/>
      <c r="I3" s="147"/>
      <c r="J3" s="147"/>
      <c r="K3" s="147"/>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8"/>
      <c r="AP3" s="148"/>
      <c r="AQ3" s="149"/>
      <c r="AR3" s="144"/>
    </row>
    <row r="4" spans="1:44" ht="14.4" customHeight="1">
      <c r="A4" s="144"/>
      <c r="B4" s="144"/>
      <c r="C4" s="144"/>
      <c r="D4" s="144"/>
      <c r="E4" s="147"/>
      <c r="F4" s="147"/>
      <c r="G4" s="147"/>
      <c r="H4" s="147"/>
      <c r="I4" s="147"/>
      <c r="J4" s="147"/>
      <c r="K4" s="147"/>
      <c r="L4" s="147"/>
      <c r="M4" s="147"/>
      <c r="N4" s="147"/>
      <c r="O4" s="147"/>
      <c r="P4" s="147"/>
      <c r="Q4" s="147"/>
      <c r="R4" s="147"/>
      <c r="S4" s="147"/>
      <c r="T4" s="147"/>
      <c r="U4" s="147"/>
      <c r="V4" s="147"/>
      <c r="W4" s="147"/>
      <c r="X4" s="147"/>
      <c r="Y4" s="147"/>
      <c r="Z4" s="147"/>
      <c r="AA4" s="147"/>
      <c r="AB4" s="147"/>
      <c r="AC4" s="147"/>
      <c r="AD4" s="147"/>
      <c r="AE4" s="147"/>
      <c r="AF4" s="147"/>
      <c r="AG4" s="147"/>
      <c r="AH4" s="147"/>
      <c r="AI4" s="147"/>
      <c r="AJ4" s="147"/>
      <c r="AK4" s="147"/>
      <c r="AL4" s="147"/>
      <c r="AM4" s="147"/>
      <c r="AN4" s="147"/>
      <c r="AO4" s="148"/>
      <c r="AP4" s="148"/>
      <c r="AQ4" s="149"/>
      <c r="AR4" s="144"/>
    </row>
    <row r="5" spans="1:44" ht="14.4" customHeight="1">
      <c r="A5" s="144"/>
      <c r="B5" s="144"/>
      <c r="C5" s="144"/>
      <c r="D5" s="144"/>
      <c r="E5" s="147"/>
      <c r="F5" s="147"/>
      <c r="G5" s="147"/>
      <c r="H5" s="147"/>
      <c r="I5" s="147"/>
      <c r="J5" s="147"/>
      <c r="K5" s="147"/>
      <c r="L5" s="147"/>
      <c r="M5" s="147"/>
      <c r="N5" s="147"/>
      <c r="O5" s="147"/>
      <c r="P5" s="147"/>
      <c r="Q5" s="147"/>
      <c r="R5" s="147"/>
      <c r="S5" s="147"/>
      <c r="T5" s="147"/>
      <c r="U5" s="147"/>
      <c r="V5" s="147"/>
      <c r="W5" s="147"/>
      <c r="X5" s="147"/>
      <c r="Y5" s="147"/>
      <c r="Z5" s="147"/>
      <c r="AA5" s="147"/>
      <c r="AB5" s="147"/>
      <c r="AC5" s="147"/>
      <c r="AD5" s="147"/>
      <c r="AE5" s="147"/>
      <c r="AF5" s="147"/>
      <c r="AG5" s="147"/>
      <c r="AH5" s="147"/>
      <c r="AI5" s="147"/>
      <c r="AJ5" s="147"/>
      <c r="AK5" s="147"/>
      <c r="AL5" s="147"/>
      <c r="AM5" s="147"/>
      <c r="AN5" s="147"/>
      <c r="AO5" s="148"/>
      <c r="AP5" s="148"/>
      <c r="AQ5" s="149"/>
      <c r="AR5" s="144"/>
    </row>
    <row r="6" spans="1:44" ht="14.4" customHeight="1">
      <c r="A6" s="144"/>
      <c r="B6" s="144"/>
      <c r="C6" s="144"/>
      <c r="D6" s="144"/>
      <c r="E6" s="147"/>
      <c r="F6" s="147"/>
      <c r="G6" s="147"/>
      <c r="H6" s="147"/>
      <c r="I6" s="147"/>
      <c r="J6" s="147"/>
      <c r="K6" s="147"/>
      <c r="L6" s="147"/>
      <c r="M6" s="147"/>
      <c r="N6" s="147"/>
      <c r="O6" s="147"/>
      <c r="P6" s="147"/>
      <c r="Q6" s="147"/>
      <c r="R6" s="147"/>
      <c r="S6" s="147"/>
      <c r="T6" s="147"/>
      <c r="U6" s="147"/>
      <c r="V6" s="147"/>
      <c r="W6" s="147"/>
      <c r="X6" s="147"/>
      <c r="Y6" s="147"/>
      <c r="Z6" s="147"/>
      <c r="AA6" s="147"/>
      <c r="AB6" s="147"/>
      <c r="AC6" s="147"/>
      <c r="AD6" s="147"/>
      <c r="AE6" s="147"/>
      <c r="AF6" s="147"/>
      <c r="AG6" s="147"/>
      <c r="AH6" s="147"/>
      <c r="AI6" s="147"/>
      <c r="AJ6" s="147"/>
      <c r="AK6" s="147"/>
      <c r="AL6" s="147"/>
      <c r="AM6" s="147"/>
      <c r="AN6" s="147"/>
      <c r="AO6" s="148"/>
      <c r="AP6" s="148"/>
      <c r="AQ6" s="149"/>
      <c r="AR6" s="144"/>
    </row>
    <row r="7" spans="1:44">
      <c r="A7" s="144"/>
      <c r="B7" s="144"/>
      <c r="C7" s="144"/>
      <c r="D7" s="144"/>
      <c r="E7" s="144"/>
      <c r="F7" s="144"/>
      <c r="G7" s="144"/>
      <c r="H7" s="144"/>
      <c r="I7" s="144"/>
      <c r="J7" s="144"/>
      <c r="K7" s="144"/>
      <c r="L7" s="144"/>
      <c r="M7" s="144"/>
      <c r="N7" s="144"/>
      <c r="O7" s="144"/>
      <c r="P7" s="144"/>
      <c r="Q7" s="144"/>
      <c r="R7" s="144"/>
      <c r="S7" s="144"/>
      <c r="T7" s="144"/>
      <c r="U7" s="144"/>
      <c r="V7" s="144"/>
      <c r="W7" s="144"/>
      <c r="X7" s="144"/>
      <c r="Y7" s="144"/>
      <c r="Z7" s="144"/>
      <c r="AA7" s="144"/>
      <c r="AB7" s="144"/>
      <c r="AC7" s="144"/>
      <c r="AD7" s="144"/>
      <c r="AE7" s="144"/>
      <c r="AF7" s="144"/>
      <c r="AG7" s="144"/>
      <c r="AH7" s="144"/>
      <c r="AI7" s="144"/>
      <c r="AJ7" s="144"/>
      <c r="AK7" s="144"/>
      <c r="AL7" s="144"/>
      <c r="AM7" s="144"/>
      <c r="AN7" s="144"/>
      <c r="AO7" s="144"/>
      <c r="AP7" s="144"/>
      <c r="AQ7" s="144"/>
      <c r="AR7" s="144"/>
    </row>
    <row r="8" spans="1:44">
      <c r="A8" s="144"/>
      <c r="B8" s="144"/>
      <c r="C8" s="144"/>
      <c r="D8" s="144"/>
      <c r="E8" s="144"/>
      <c r="F8" s="144"/>
      <c r="G8" s="144"/>
      <c r="H8" s="144"/>
      <c r="I8" s="144"/>
      <c r="J8" s="144"/>
      <c r="K8" s="144"/>
      <c r="L8" s="144"/>
      <c r="M8" s="144"/>
      <c r="N8" s="144"/>
      <c r="O8" s="144"/>
      <c r="P8" s="144"/>
      <c r="Q8" s="144"/>
      <c r="R8" s="144"/>
      <c r="S8" s="144"/>
      <c r="T8" s="144"/>
      <c r="U8" s="144"/>
      <c r="V8" s="144"/>
      <c r="W8" s="144"/>
      <c r="X8" s="144"/>
      <c r="Y8" s="144"/>
      <c r="Z8" s="144"/>
      <c r="AA8" s="144"/>
      <c r="AB8" s="144"/>
      <c r="AC8" s="144"/>
      <c r="AD8" s="144"/>
      <c r="AE8" s="144"/>
      <c r="AF8" s="144"/>
      <c r="AG8" s="144"/>
      <c r="AH8" s="144"/>
      <c r="AI8" s="144"/>
      <c r="AJ8" s="144"/>
      <c r="AK8" s="144"/>
      <c r="AL8" s="144"/>
      <c r="AM8" s="144"/>
      <c r="AN8" s="144"/>
      <c r="AO8" s="144"/>
      <c r="AP8" s="144"/>
      <c r="AQ8" s="144"/>
      <c r="AR8" s="144"/>
    </row>
    <row r="9" spans="1:44" ht="15" thickBot="1">
      <c r="A9" s="144"/>
      <c r="B9" s="144"/>
      <c r="C9" s="144"/>
      <c r="D9" s="144"/>
      <c r="E9" s="144"/>
      <c r="F9" s="144"/>
      <c r="G9" s="144"/>
      <c r="H9" s="144"/>
      <c r="I9" s="144"/>
      <c r="J9" s="144"/>
      <c r="K9" s="144"/>
      <c r="L9" s="144"/>
      <c r="M9" s="144"/>
      <c r="N9" s="144"/>
      <c r="O9" s="144"/>
      <c r="P9" s="144"/>
      <c r="Q9" s="144"/>
      <c r="R9" s="144"/>
      <c r="S9" s="144"/>
      <c r="T9" s="144"/>
      <c r="U9" s="144"/>
      <c r="V9" s="144"/>
      <c r="W9" s="144"/>
      <c r="X9" s="144"/>
      <c r="Y9" s="144"/>
      <c r="Z9" s="144"/>
      <c r="AA9" s="144"/>
      <c r="AB9" s="144"/>
      <c r="AC9" s="144"/>
      <c r="AD9" s="144"/>
      <c r="AE9" s="144"/>
      <c r="AF9" s="144"/>
      <c r="AG9" s="144"/>
      <c r="AH9" s="144"/>
      <c r="AI9" s="144"/>
      <c r="AJ9" s="144"/>
      <c r="AK9" s="144"/>
      <c r="AL9" s="144"/>
      <c r="AM9" s="144"/>
      <c r="AN9" s="144"/>
      <c r="AO9" s="144"/>
      <c r="AP9" s="144"/>
      <c r="AQ9" s="144"/>
      <c r="AR9" s="144"/>
    </row>
    <row r="10" spans="1:44" ht="14.4" customHeight="1">
      <c r="A10" s="144"/>
      <c r="B10" s="144"/>
      <c r="C10" s="144"/>
      <c r="D10" s="144"/>
      <c r="E10" s="144"/>
      <c r="F10" s="144"/>
      <c r="G10" s="144"/>
      <c r="H10" s="144"/>
      <c r="I10" s="144"/>
      <c r="J10" s="144"/>
      <c r="K10" s="144"/>
      <c r="L10" s="144"/>
      <c r="M10" s="144"/>
      <c r="N10" s="144"/>
      <c r="O10" s="144"/>
      <c r="P10" s="144"/>
      <c r="Q10" s="144"/>
      <c r="R10" s="144"/>
      <c r="S10" s="144"/>
      <c r="T10" s="144"/>
      <c r="U10" s="144"/>
      <c r="V10" s="144"/>
      <c r="W10" s="144"/>
      <c r="X10" s="144"/>
      <c r="Y10" s="144"/>
      <c r="Z10" s="144"/>
      <c r="AA10" s="144"/>
      <c r="AB10" s="144"/>
      <c r="AC10" s="144"/>
      <c r="AD10" s="144"/>
      <c r="AE10" s="144"/>
      <c r="AF10" s="144"/>
      <c r="AG10" s="144"/>
      <c r="AH10" s="144"/>
      <c r="AI10" s="144"/>
      <c r="AJ10" s="168" t="s">
        <v>480</v>
      </c>
      <c r="AK10" s="169"/>
      <c r="AL10" s="169"/>
      <c r="AM10" s="169"/>
      <c r="AN10" s="169"/>
      <c r="AO10" s="170"/>
      <c r="AP10" s="144"/>
      <c r="AQ10" s="144"/>
      <c r="AR10" s="144"/>
    </row>
    <row r="11" spans="1:44" ht="14.4" customHeight="1">
      <c r="A11" s="144"/>
      <c r="B11" s="144"/>
      <c r="C11" s="144"/>
      <c r="D11" s="144"/>
      <c r="E11" s="144"/>
      <c r="F11" s="144"/>
      <c r="G11" s="144"/>
      <c r="H11" s="144"/>
      <c r="I11" s="144"/>
      <c r="J11" s="144"/>
      <c r="K11" s="144"/>
      <c r="L11" s="144"/>
      <c r="M11" s="144"/>
      <c r="N11" s="144"/>
      <c r="O11" s="144"/>
      <c r="P11" s="144"/>
      <c r="Q11" s="144"/>
      <c r="R11" s="144"/>
      <c r="S11" s="144"/>
      <c r="T11" s="144"/>
      <c r="U11" s="144"/>
      <c r="V11" s="144"/>
      <c r="W11" s="144"/>
      <c r="X11" s="144"/>
      <c r="Y11" s="144"/>
      <c r="Z11" s="144"/>
      <c r="AA11" s="144"/>
      <c r="AB11" s="144"/>
      <c r="AC11" s="144"/>
      <c r="AD11" s="144"/>
      <c r="AE11" s="144"/>
      <c r="AF11" s="144"/>
      <c r="AG11" s="144"/>
      <c r="AH11" s="144"/>
      <c r="AI11" s="144"/>
      <c r="AJ11" s="171"/>
      <c r="AK11" s="172"/>
      <c r="AL11" s="172"/>
      <c r="AM11" s="172"/>
      <c r="AN11" s="172"/>
      <c r="AO11" s="173"/>
      <c r="AP11" s="144"/>
      <c r="AQ11" s="144"/>
      <c r="AR11" s="144"/>
    </row>
    <row r="12" spans="1:44" ht="14.4" customHeight="1">
      <c r="A12" s="144"/>
      <c r="B12" s="144"/>
      <c r="C12" s="144"/>
      <c r="D12" s="144"/>
      <c r="E12" s="144"/>
      <c r="F12" s="144"/>
      <c r="G12" s="144"/>
      <c r="H12" s="144"/>
      <c r="I12" s="144"/>
      <c r="J12" s="144"/>
      <c r="K12" s="144"/>
      <c r="L12" s="144"/>
      <c r="M12" s="144"/>
      <c r="N12" s="144"/>
      <c r="O12" s="144"/>
      <c r="P12" s="144"/>
      <c r="Q12" s="144"/>
      <c r="R12" s="144"/>
      <c r="S12" s="144"/>
      <c r="T12" s="144"/>
      <c r="U12" s="144"/>
      <c r="V12" s="144"/>
      <c r="W12" s="144"/>
      <c r="X12" s="144"/>
      <c r="Y12" s="144"/>
      <c r="Z12" s="144"/>
      <c r="AA12" s="144"/>
      <c r="AB12" s="144"/>
      <c r="AC12" s="144"/>
      <c r="AD12" s="144"/>
      <c r="AE12" s="144"/>
      <c r="AF12" s="144"/>
      <c r="AG12" s="144"/>
      <c r="AH12" s="144"/>
      <c r="AI12" s="144"/>
      <c r="AJ12" s="150">
        <f>GETPIVOTDATA("Total_Amount",Pivot_Table!$A$10)</f>
        <v>229192.47000000006</v>
      </c>
      <c r="AK12" s="151"/>
      <c r="AL12" s="151"/>
      <c r="AM12" s="151"/>
      <c r="AN12" s="151"/>
      <c r="AO12" s="152"/>
      <c r="AP12" s="144"/>
      <c r="AQ12" s="144"/>
      <c r="AR12" s="144"/>
    </row>
    <row r="13" spans="1:44" ht="14.4" customHeight="1">
      <c r="A13" s="144"/>
      <c r="B13" s="144"/>
      <c r="C13" s="144"/>
      <c r="D13" s="144"/>
      <c r="E13" s="144"/>
      <c r="F13" s="144"/>
      <c r="G13" s="144"/>
      <c r="H13" s="144"/>
      <c r="I13" s="144"/>
      <c r="J13" s="144"/>
      <c r="K13" s="144"/>
      <c r="L13" s="144"/>
      <c r="M13" s="144"/>
      <c r="N13" s="144"/>
      <c r="O13" s="144"/>
      <c r="P13" s="144"/>
      <c r="Q13" s="144"/>
      <c r="R13" s="144"/>
      <c r="S13" s="144"/>
      <c r="T13" s="144"/>
      <c r="U13" s="144"/>
      <c r="V13" s="144"/>
      <c r="W13" s="144"/>
      <c r="X13" s="144"/>
      <c r="Y13" s="144"/>
      <c r="Z13" s="144"/>
      <c r="AA13" s="144"/>
      <c r="AB13" s="144"/>
      <c r="AC13" s="144"/>
      <c r="AD13" s="144"/>
      <c r="AE13" s="144"/>
      <c r="AF13" s="144"/>
      <c r="AG13" s="144"/>
      <c r="AH13" s="144"/>
      <c r="AI13" s="144"/>
      <c r="AJ13" s="150"/>
      <c r="AK13" s="151"/>
      <c r="AL13" s="151"/>
      <c r="AM13" s="151"/>
      <c r="AN13" s="151"/>
      <c r="AO13" s="152"/>
      <c r="AP13" s="144"/>
      <c r="AQ13" s="144"/>
      <c r="AR13" s="144"/>
    </row>
    <row r="14" spans="1:44" ht="15" customHeight="1">
      <c r="A14" s="144"/>
      <c r="B14" s="144"/>
      <c r="C14" s="144"/>
      <c r="D14" s="144"/>
      <c r="E14" s="144"/>
      <c r="F14" s="144"/>
      <c r="G14" s="144"/>
      <c r="H14" s="144"/>
      <c r="I14" s="144"/>
      <c r="J14" s="144"/>
      <c r="K14" s="144"/>
      <c r="L14" s="144"/>
      <c r="M14" s="144"/>
      <c r="N14" s="144"/>
      <c r="O14" s="144"/>
      <c r="P14" s="144"/>
      <c r="Q14" s="144"/>
      <c r="R14" s="144"/>
      <c r="S14" s="144"/>
      <c r="T14" s="144"/>
      <c r="U14" s="144"/>
      <c r="V14" s="144"/>
      <c r="W14" s="144"/>
      <c r="X14" s="144"/>
      <c r="Y14" s="144"/>
      <c r="Z14" s="144"/>
      <c r="AA14" s="144"/>
      <c r="AB14" s="144"/>
      <c r="AC14" s="144"/>
      <c r="AD14" s="144"/>
      <c r="AE14" s="144"/>
      <c r="AF14" s="144"/>
      <c r="AG14" s="144"/>
      <c r="AH14" s="144"/>
      <c r="AI14" s="144"/>
      <c r="AJ14" s="150"/>
      <c r="AK14" s="151"/>
      <c r="AL14" s="151"/>
      <c r="AM14" s="151"/>
      <c r="AN14" s="151"/>
      <c r="AO14" s="152"/>
      <c r="AP14" s="144"/>
      <c r="AQ14" s="144"/>
      <c r="AR14" s="144"/>
    </row>
    <row r="15" spans="1:44" ht="15" thickBot="1">
      <c r="A15" s="144"/>
      <c r="B15" s="144"/>
      <c r="C15" s="144"/>
      <c r="D15" s="144"/>
      <c r="E15" s="144"/>
      <c r="F15" s="144"/>
      <c r="G15" s="144"/>
      <c r="H15" s="144"/>
      <c r="I15" s="144"/>
      <c r="J15" s="144"/>
      <c r="K15" s="144"/>
      <c r="L15" s="144"/>
      <c r="M15" s="144"/>
      <c r="N15" s="144"/>
      <c r="O15" s="144"/>
      <c r="P15" s="144"/>
      <c r="Q15" s="144"/>
      <c r="R15" s="144"/>
      <c r="S15" s="144"/>
      <c r="T15" s="144"/>
      <c r="U15" s="144"/>
      <c r="V15" s="144"/>
      <c r="W15" s="144"/>
      <c r="X15" s="144"/>
      <c r="Y15" s="144"/>
      <c r="Z15" s="144"/>
      <c r="AA15" s="144"/>
      <c r="AB15" s="144"/>
      <c r="AC15" s="144"/>
      <c r="AD15" s="144"/>
      <c r="AE15" s="144"/>
      <c r="AF15" s="144"/>
      <c r="AG15" s="144"/>
      <c r="AH15" s="144"/>
      <c r="AI15" s="144"/>
      <c r="AJ15" s="153"/>
      <c r="AK15" s="154"/>
      <c r="AL15" s="154"/>
      <c r="AM15" s="154"/>
      <c r="AN15" s="154"/>
      <c r="AO15" s="155"/>
      <c r="AP15" s="144"/>
      <c r="AQ15" s="144"/>
      <c r="AR15" s="144"/>
    </row>
    <row r="16" spans="1:44">
      <c r="A16" s="144"/>
      <c r="B16" s="144"/>
      <c r="C16" s="144"/>
      <c r="D16" s="144"/>
      <c r="E16" s="144"/>
      <c r="F16" s="144"/>
      <c r="G16" s="144"/>
      <c r="H16" s="144"/>
      <c r="I16" s="144"/>
      <c r="J16" s="144"/>
      <c r="K16" s="144"/>
      <c r="L16" s="144"/>
      <c r="M16" s="144"/>
      <c r="N16" s="144"/>
      <c r="O16" s="144"/>
      <c r="P16" s="144"/>
      <c r="Q16" s="144"/>
      <c r="R16" s="144"/>
      <c r="S16" s="144"/>
      <c r="T16" s="144"/>
      <c r="U16" s="144"/>
      <c r="V16" s="144"/>
      <c r="W16" s="144"/>
      <c r="X16" s="144"/>
      <c r="Y16" s="144"/>
      <c r="Z16" s="144"/>
      <c r="AA16" s="144"/>
      <c r="AB16" s="144"/>
      <c r="AC16" s="144"/>
      <c r="AD16" s="144"/>
      <c r="AE16" s="144"/>
      <c r="AF16" s="144"/>
      <c r="AG16" s="144"/>
      <c r="AH16" s="144"/>
      <c r="AI16" s="144"/>
      <c r="AJ16" s="144"/>
      <c r="AK16" s="144"/>
      <c r="AL16" s="144"/>
      <c r="AM16" s="144"/>
      <c r="AN16" s="144"/>
      <c r="AO16" s="144"/>
      <c r="AP16" s="144"/>
      <c r="AQ16" s="144"/>
      <c r="AR16" s="144"/>
    </row>
    <row r="17" spans="1:44">
      <c r="A17" s="144"/>
      <c r="B17" s="144"/>
      <c r="C17" s="144"/>
      <c r="D17" s="144"/>
      <c r="E17" s="144"/>
      <c r="F17" s="144"/>
      <c r="G17" s="144"/>
      <c r="H17" s="144"/>
      <c r="I17" s="144"/>
      <c r="J17" s="144"/>
      <c r="K17" s="144"/>
      <c r="L17" s="144"/>
      <c r="M17" s="144"/>
      <c r="N17" s="144"/>
      <c r="O17" s="144"/>
      <c r="P17" s="144"/>
      <c r="Q17" s="144"/>
      <c r="R17" s="144"/>
      <c r="S17" s="144"/>
      <c r="T17" s="144"/>
      <c r="U17" s="144"/>
      <c r="V17" s="144"/>
      <c r="W17" s="144"/>
      <c r="X17" s="144"/>
      <c r="Y17" s="144"/>
      <c r="Z17" s="144"/>
      <c r="AA17" s="144"/>
      <c r="AB17" s="144"/>
      <c r="AC17" s="144"/>
      <c r="AD17" s="144"/>
      <c r="AE17" s="144"/>
      <c r="AF17" s="144"/>
      <c r="AG17" s="144"/>
      <c r="AH17" s="144"/>
      <c r="AI17" s="144"/>
      <c r="AJ17" s="144"/>
      <c r="AK17" s="144"/>
      <c r="AL17" s="144"/>
      <c r="AM17" s="144"/>
      <c r="AN17" s="144"/>
      <c r="AO17" s="144"/>
      <c r="AP17" s="144"/>
      <c r="AQ17" s="144"/>
      <c r="AR17" s="144"/>
    </row>
    <row r="18" spans="1:44">
      <c r="A18" s="144"/>
      <c r="B18" s="144"/>
      <c r="C18" s="144"/>
      <c r="D18" s="144"/>
      <c r="E18" s="144"/>
      <c r="F18" s="144"/>
      <c r="G18" s="144"/>
      <c r="H18" s="144"/>
      <c r="I18" s="144"/>
      <c r="J18" s="144"/>
      <c r="K18" s="144"/>
      <c r="L18" s="144"/>
      <c r="M18" s="144"/>
      <c r="N18" s="144"/>
      <c r="O18" s="144"/>
      <c r="P18" s="144"/>
      <c r="Q18" s="144"/>
      <c r="R18" s="144"/>
      <c r="S18" s="144"/>
      <c r="T18" s="144"/>
      <c r="U18" s="144"/>
      <c r="V18" s="144"/>
      <c r="W18" s="144"/>
      <c r="X18" s="144"/>
      <c r="Y18" s="144"/>
      <c r="Z18" s="144"/>
      <c r="AA18" s="144"/>
      <c r="AB18" s="144"/>
      <c r="AC18" s="144"/>
      <c r="AD18" s="144"/>
      <c r="AE18" s="144"/>
      <c r="AF18" s="144"/>
      <c r="AG18" s="144"/>
      <c r="AH18" s="144"/>
      <c r="AI18" s="144"/>
      <c r="AJ18" s="144"/>
      <c r="AK18" s="144"/>
      <c r="AL18" s="144"/>
      <c r="AM18" s="144"/>
      <c r="AN18" s="144"/>
      <c r="AO18" s="144"/>
      <c r="AP18" s="144"/>
      <c r="AQ18" s="144"/>
      <c r="AR18" s="144"/>
    </row>
    <row r="19" spans="1:44" ht="14.4" customHeight="1">
      <c r="A19" s="144"/>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4"/>
      <c r="AC19" s="144"/>
      <c r="AD19" s="144"/>
      <c r="AE19" s="144"/>
      <c r="AF19" s="144"/>
      <c r="AG19" s="144"/>
      <c r="AH19" s="144"/>
      <c r="AI19" s="144"/>
      <c r="AJ19" s="144"/>
      <c r="AK19" s="144"/>
      <c r="AL19" s="144"/>
      <c r="AM19" s="144"/>
      <c r="AN19" s="144"/>
      <c r="AO19" s="144"/>
      <c r="AP19" s="144"/>
      <c r="AQ19" s="144"/>
      <c r="AR19" s="144"/>
    </row>
    <row r="20" spans="1:44">
      <c r="A20" s="144"/>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4"/>
      <c r="AC20" s="144"/>
      <c r="AD20" s="144"/>
      <c r="AE20" s="144"/>
      <c r="AF20" s="144"/>
      <c r="AG20" s="144"/>
      <c r="AH20" s="144"/>
      <c r="AI20" s="144"/>
      <c r="AJ20" s="144"/>
      <c r="AK20" s="144"/>
      <c r="AL20" s="144"/>
      <c r="AM20" s="144"/>
      <c r="AN20" s="144"/>
      <c r="AO20" s="144"/>
      <c r="AP20" s="144"/>
      <c r="AQ20" s="144"/>
      <c r="AR20" s="144"/>
    </row>
    <row r="21" spans="1:44" ht="14.4" customHeight="1">
      <c r="A21" s="144"/>
      <c r="B21" s="144"/>
      <c r="C21" s="144"/>
      <c r="D21" s="144"/>
      <c r="E21" s="144"/>
      <c r="F21" s="144"/>
      <c r="G21" s="144"/>
      <c r="H21" s="144"/>
      <c r="I21" s="144"/>
      <c r="J21" s="144"/>
      <c r="K21" s="144"/>
      <c r="L21" s="144"/>
      <c r="M21" s="144"/>
      <c r="N21" s="144"/>
      <c r="O21" s="144"/>
      <c r="P21" s="144"/>
      <c r="Q21" s="144"/>
      <c r="R21" s="144"/>
      <c r="S21" s="144"/>
      <c r="T21" s="144"/>
      <c r="U21" s="144"/>
      <c r="V21" s="144"/>
      <c r="W21" s="144"/>
      <c r="X21" s="144"/>
      <c r="Y21" s="144"/>
      <c r="Z21" s="144"/>
      <c r="AA21" s="144"/>
      <c r="AB21" s="144"/>
      <c r="AC21" s="144"/>
      <c r="AD21" s="144"/>
      <c r="AE21" s="144"/>
      <c r="AF21" s="144"/>
      <c r="AG21" s="144"/>
      <c r="AH21" s="144"/>
      <c r="AI21" s="144"/>
      <c r="AJ21" s="144"/>
      <c r="AK21" s="144"/>
      <c r="AL21" s="144"/>
      <c r="AM21" s="144"/>
      <c r="AN21" s="144"/>
      <c r="AO21" s="144"/>
      <c r="AP21" s="144"/>
      <c r="AQ21" s="144"/>
      <c r="AR21" s="144"/>
    </row>
    <row r="22" spans="1:44" ht="14.4" customHeight="1" thickBot="1">
      <c r="A22" s="144"/>
      <c r="B22" s="144"/>
      <c r="C22" s="144"/>
      <c r="D22" s="144"/>
      <c r="E22" s="144"/>
      <c r="F22" s="144"/>
      <c r="G22" s="144"/>
      <c r="H22" s="144"/>
      <c r="I22" s="144"/>
      <c r="J22" s="144"/>
      <c r="K22" s="144"/>
      <c r="L22" s="144"/>
      <c r="M22" s="144"/>
      <c r="N22" s="144"/>
      <c r="O22" s="144"/>
      <c r="P22" s="144"/>
      <c r="Q22" s="144"/>
      <c r="R22" s="144"/>
      <c r="S22" s="144"/>
      <c r="T22" s="144"/>
      <c r="U22" s="144"/>
      <c r="V22" s="144"/>
      <c r="W22" s="144"/>
      <c r="X22" s="144"/>
      <c r="Y22" s="144"/>
      <c r="Z22" s="144"/>
      <c r="AA22" s="144"/>
      <c r="AB22" s="144"/>
      <c r="AC22" s="144"/>
      <c r="AD22" s="144"/>
      <c r="AE22" s="144"/>
      <c r="AF22" s="144"/>
      <c r="AG22" s="144"/>
      <c r="AH22" s="144"/>
      <c r="AI22" s="144"/>
      <c r="AJ22" s="144"/>
      <c r="AK22" s="144"/>
      <c r="AL22" s="144"/>
      <c r="AM22" s="144"/>
      <c r="AN22" s="144"/>
      <c r="AO22" s="144"/>
      <c r="AP22" s="144"/>
      <c r="AQ22" s="144"/>
      <c r="AR22" s="144"/>
    </row>
    <row r="23" spans="1:44" ht="15" customHeight="1">
      <c r="A23" s="144"/>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4"/>
      <c r="AC23" s="144"/>
      <c r="AD23" s="144"/>
      <c r="AE23" s="144"/>
      <c r="AF23" s="144"/>
      <c r="AG23" s="144"/>
      <c r="AH23" s="144"/>
      <c r="AI23" s="144"/>
      <c r="AJ23" s="168" t="s">
        <v>669</v>
      </c>
      <c r="AK23" s="169"/>
      <c r="AL23" s="169"/>
      <c r="AM23" s="169"/>
      <c r="AN23" s="169"/>
      <c r="AO23" s="170"/>
      <c r="AP23" s="144"/>
      <c r="AQ23" s="144"/>
      <c r="AR23" s="144"/>
    </row>
    <row r="24" spans="1:44">
      <c r="A24" s="144"/>
      <c r="B24" s="144"/>
      <c r="C24" s="144"/>
      <c r="D24" s="144"/>
      <c r="E24" s="144"/>
      <c r="F24" s="144"/>
      <c r="G24" s="144"/>
      <c r="H24" s="144"/>
      <c r="I24" s="144"/>
      <c r="J24" s="144"/>
      <c r="K24" s="144"/>
      <c r="L24" s="144"/>
      <c r="M24" s="144"/>
      <c r="N24" s="144"/>
      <c r="O24" s="144"/>
      <c r="P24" s="144"/>
      <c r="Q24" s="144"/>
      <c r="R24" s="144"/>
      <c r="S24" s="144"/>
      <c r="T24" s="144"/>
      <c r="U24" s="144"/>
      <c r="V24" s="144"/>
      <c r="W24" s="144"/>
      <c r="X24" s="144"/>
      <c r="Y24" s="144"/>
      <c r="Z24" s="144"/>
      <c r="AA24" s="144"/>
      <c r="AB24" s="144"/>
      <c r="AC24" s="144"/>
      <c r="AD24" s="144"/>
      <c r="AE24" s="144"/>
      <c r="AF24" s="144"/>
      <c r="AG24" s="144"/>
      <c r="AH24" s="144"/>
      <c r="AI24" s="144"/>
      <c r="AJ24" s="171"/>
      <c r="AK24" s="172"/>
      <c r="AL24" s="172"/>
      <c r="AM24" s="172"/>
      <c r="AN24" s="172"/>
      <c r="AO24" s="173"/>
      <c r="AP24" s="144"/>
      <c r="AQ24" s="144"/>
      <c r="AR24" s="144"/>
    </row>
    <row r="25" spans="1:44">
      <c r="A25" s="144"/>
      <c r="B25" s="144"/>
      <c r="C25" s="144"/>
      <c r="D25" s="144"/>
      <c r="E25" s="144"/>
      <c r="F25" s="144"/>
      <c r="G25" s="144"/>
      <c r="H25" s="144"/>
      <c r="I25" s="144"/>
      <c r="J25" s="144"/>
      <c r="K25" s="144"/>
      <c r="L25" s="144"/>
      <c r="M25" s="144"/>
      <c r="N25" s="144"/>
      <c r="O25" s="144"/>
      <c r="P25" s="144"/>
      <c r="Q25" s="144"/>
      <c r="R25" s="144"/>
      <c r="S25" s="144"/>
      <c r="T25" s="144"/>
      <c r="U25" s="144"/>
      <c r="V25" s="144"/>
      <c r="W25" s="144"/>
      <c r="X25" s="144"/>
      <c r="Y25" s="144"/>
      <c r="Z25" s="144"/>
      <c r="AA25" s="144"/>
      <c r="AB25" s="144"/>
      <c r="AC25" s="144"/>
      <c r="AD25" s="144"/>
      <c r="AE25" s="144"/>
      <c r="AF25" s="144"/>
      <c r="AG25" s="144"/>
      <c r="AH25" s="144"/>
      <c r="AI25" s="144"/>
      <c r="AJ25" s="156">
        <f>COUNTA('Final Project Dataset'!A2:A251)</f>
        <v>250</v>
      </c>
      <c r="AK25" s="157"/>
      <c r="AL25" s="157"/>
      <c r="AM25" s="157"/>
      <c r="AN25" s="157"/>
      <c r="AO25" s="158"/>
      <c r="AP25" s="144"/>
      <c r="AQ25" s="144"/>
      <c r="AR25" s="144"/>
    </row>
    <row r="26" spans="1:44">
      <c r="A26" s="144"/>
      <c r="B26" s="144"/>
      <c r="C26" s="144"/>
      <c r="D26" s="144"/>
      <c r="E26" s="144"/>
      <c r="F26" s="144"/>
      <c r="G26" s="144"/>
      <c r="H26" s="144"/>
      <c r="I26" s="144"/>
      <c r="J26" s="144"/>
      <c r="K26" s="144"/>
      <c r="L26" s="144"/>
      <c r="M26" s="144"/>
      <c r="N26" s="144"/>
      <c r="O26" s="144"/>
      <c r="P26" s="144"/>
      <c r="Q26" s="144"/>
      <c r="R26" s="144"/>
      <c r="S26" s="144"/>
      <c r="T26" s="144"/>
      <c r="U26" s="144"/>
      <c r="V26" s="144"/>
      <c r="W26" s="144"/>
      <c r="X26" s="144"/>
      <c r="Y26" s="144"/>
      <c r="Z26" s="144"/>
      <c r="AA26" s="144"/>
      <c r="AB26" s="144"/>
      <c r="AC26" s="144"/>
      <c r="AD26" s="144"/>
      <c r="AE26" s="144"/>
      <c r="AF26" s="144"/>
      <c r="AG26" s="144"/>
      <c r="AH26" s="144"/>
      <c r="AI26" s="144"/>
      <c r="AJ26" s="156"/>
      <c r="AK26" s="157"/>
      <c r="AL26" s="157"/>
      <c r="AM26" s="157"/>
      <c r="AN26" s="157"/>
      <c r="AO26" s="158"/>
      <c r="AP26" s="144"/>
      <c r="AQ26" s="144"/>
      <c r="AR26" s="144"/>
    </row>
    <row r="27" spans="1:44" ht="14.4" customHeight="1">
      <c r="A27" s="144"/>
      <c r="B27" s="144"/>
      <c r="C27" s="144"/>
      <c r="D27" s="144"/>
      <c r="E27" s="144"/>
      <c r="F27" s="144"/>
      <c r="G27" s="144"/>
      <c r="H27" s="144"/>
      <c r="I27" s="144"/>
      <c r="J27" s="144"/>
      <c r="K27" s="144"/>
      <c r="L27" s="144"/>
      <c r="M27" s="144"/>
      <c r="N27" s="144"/>
      <c r="O27" s="144"/>
      <c r="P27" s="144"/>
      <c r="Q27" s="144"/>
      <c r="R27" s="144"/>
      <c r="S27" s="144"/>
      <c r="T27" s="144"/>
      <c r="U27" s="144"/>
      <c r="V27" s="144"/>
      <c r="W27" s="144"/>
      <c r="X27" s="144"/>
      <c r="Y27" s="144"/>
      <c r="Z27" s="144"/>
      <c r="AA27" s="144"/>
      <c r="AB27" s="144"/>
      <c r="AC27" s="144"/>
      <c r="AD27" s="144"/>
      <c r="AE27" s="144"/>
      <c r="AF27" s="144"/>
      <c r="AG27" s="144"/>
      <c r="AH27" s="144"/>
      <c r="AI27" s="144"/>
      <c r="AJ27" s="156"/>
      <c r="AK27" s="157"/>
      <c r="AL27" s="157"/>
      <c r="AM27" s="157"/>
      <c r="AN27" s="157"/>
      <c r="AO27" s="158"/>
      <c r="AP27" s="144"/>
      <c r="AQ27" s="144"/>
      <c r="AR27" s="144"/>
    </row>
    <row r="28" spans="1:44" ht="15" thickBot="1">
      <c r="A28" s="144"/>
      <c r="B28" s="144"/>
      <c r="C28" s="144"/>
      <c r="D28" s="144"/>
      <c r="E28" s="144"/>
      <c r="F28" s="144"/>
      <c r="G28" s="144"/>
      <c r="H28" s="144"/>
      <c r="I28" s="144"/>
      <c r="J28" s="144"/>
      <c r="K28" s="144"/>
      <c r="L28" s="144"/>
      <c r="M28" s="144"/>
      <c r="N28" s="144"/>
      <c r="O28" s="144"/>
      <c r="P28" s="144"/>
      <c r="Q28" s="144"/>
      <c r="R28" s="144"/>
      <c r="S28" s="144"/>
      <c r="T28" s="144"/>
      <c r="U28" s="144"/>
      <c r="V28" s="144"/>
      <c r="W28" s="144"/>
      <c r="X28" s="144"/>
      <c r="Y28" s="144"/>
      <c r="Z28" s="144"/>
      <c r="AA28" s="144"/>
      <c r="AB28" s="144"/>
      <c r="AC28" s="144"/>
      <c r="AD28" s="144"/>
      <c r="AE28" s="144"/>
      <c r="AF28" s="144"/>
      <c r="AG28" s="144"/>
      <c r="AH28" s="144"/>
      <c r="AI28" s="144"/>
      <c r="AJ28" s="159"/>
      <c r="AK28" s="160"/>
      <c r="AL28" s="160"/>
      <c r="AM28" s="160"/>
      <c r="AN28" s="160"/>
      <c r="AO28" s="161"/>
      <c r="AP28" s="144"/>
      <c r="AQ28" s="144"/>
      <c r="AR28" s="144"/>
    </row>
    <row r="29" spans="1:44" ht="14.4" customHeight="1">
      <c r="A29" s="144"/>
      <c r="B29" s="144"/>
      <c r="C29" s="144"/>
      <c r="D29" s="144"/>
      <c r="E29" s="144"/>
      <c r="F29" s="144"/>
      <c r="G29" s="144"/>
      <c r="H29" s="144"/>
      <c r="I29" s="144"/>
      <c r="J29" s="144"/>
      <c r="K29" s="144"/>
      <c r="L29" s="144"/>
      <c r="M29" s="144"/>
      <c r="N29" s="144"/>
      <c r="O29" s="144"/>
      <c r="P29" s="144"/>
      <c r="Q29" s="144"/>
      <c r="R29" s="144"/>
      <c r="S29" s="144"/>
      <c r="T29" s="144"/>
      <c r="U29" s="144"/>
      <c r="V29" s="144"/>
      <c r="W29" s="144"/>
      <c r="X29" s="144"/>
      <c r="Y29" s="144"/>
      <c r="Z29" s="144"/>
      <c r="AA29" s="144"/>
      <c r="AB29" s="144"/>
      <c r="AC29" s="144"/>
      <c r="AD29" s="144"/>
      <c r="AE29" s="144"/>
      <c r="AF29" s="144"/>
      <c r="AG29" s="144"/>
      <c r="AH29" s="144"/>
      <c r="AI29" s="144"/>
      <c r="AJ29" s="144"/>
      <c r="AK29" s="144"/>
      <c r="AL29" s="144"/>
      <c r="AM29" s="144"/>
      <c r="AN29" s="144"/>
      <c r="AO29" s="144"/>
      <c r="AP29" s="144"/>
      <c r="AQ29" s="144"/>
      <c r="AR29" s="144"/>
    </row>
    <row r="30" spans="1:44" ht="14.4" customHeight="1">
      <c r="A30" s="144"/>
      <c r="B30" s="144"/>
      <c r="C30" s="144"/>
      <c r="D30" s="144"/>
      <c r="E30" s="144"/>
      <c r="F30" s="144"/>
      <c r="G30" s="144"/>
      <c r="H30" s="144"/>
      <c r="I30" s="144"/>
      <c r="J30" s="144"/>
      <c r="K30" s="144"/>
      <c r="L30" s="144"/>
      <c r="M30" s="144"/>
      <c r="N30" s="144"/>
      <c r="O30" s="144"/>
      <c r="P30" s="144"/>
      <c r="Q30" s="144"/>
      <c r="R30" s="144"/>
      <c r="S30" s="144"/>
      <c r="T30" s="144"/>
      <c r="U30" s="144"/>
      <c r="V30" s="144"/>
      <c r="W30" s="144"/>
      <c r="X30" s="144"/>
      <c r="Y30" s="144"/>
      <c r="Z30" s="144"/>
      <c r="AA30" s="144"/>
      <c r="AB30" s="144"/>
      <c r="AC30" s="144"/>
      <c r="AD30" s="144"/>
      <c r="AE30" s="144"/>
      <c r="AF30" s="144"/>
      <c r="AG30" s="144"/>
      <c r="AH30" s="144"/>
      <c r="AI30" s="144"/>
      <c r="AJ30" s="144"/>
      <c r="AK30" s="144"/>
      <c r="AL30" s="144"/>
      <c r="AM30" s="144"/>
      <c r="AN30" s="144"/>
      <c r="AO30" s="144"/>
      <c r="AP30" s="144"/>
      <c r="AQ30" s="144"/>
      <c r="AR30" s="144"/>
    </row>
    <row r="31" spans="1:44" ht="15" customHeight="1">
      <c r="A31" s="144"/>
      <c r="B31" s="144"/>
      <c r="C31" s="144"/>
      <c r="D31" s="144"/>
      <c r="E31" s="144"/>
      <c r="F31" s="144"/>
      <c r="G31" s="144"/>
      <c r="H31" s="144"/>
      <c r="I31" s="144"/>
      <c r="J31" s="144"/>
      <c r="K31" s="144"/>
      <c r="L31" s="144"/>
      <c r="M31" s="144"/>
      <c r="N31" s="144"/>
      <c r="O31" s="144"/>
      <c r="P31" s="144"/>
      <c r="Q31" s="144"/>
      <c r="R31" s="144"/>
      <c r="S31" s="144"/>
      <c r="T31" s="144"/>
      <c r="U31" s="144"/>
      <c r="V31" s="144"/>
      <c r="W31" s="144"/>
      <c r="X31" s="144"/>
      <c r="Y31" s="144"/>
      <c r="Z31" s="144"/>
      <c r="AA31" s="144"/>
      <c r="AB31" s="144"/>
      <c r="AC31" s="144"/>
      <c r="AD31" s="144"/>
      <c r="AE31" s="144"/>
      <c r="AF31" s="144"/>
      <c r="AG31" s="144"/>
      <c r="AH31" s="144"/>
      <c r="AI31" s="144"/>
      <c r="AJ31" s="144"/>
      <c r="AK31" s="144"/>
      <c r="AL31" s="144"/>
      <c r="AM31" s="144"/>
      <c r="AN31" s="144"/>
      <c r="AO31" s="144"/>
      <c r="AP31" s="144"/>
      <c r="AQ31" s="144"/>
      <c r="AR31" s="144"/>
    </row>
    <row r="32" spans="1:44">
      <c r="A32" s="144"/>
      <c r="B32" s="144"/>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44"/>
      <c r="AA32" s="144"/>
      <c r="AB32" s="144"/>
      <c r="AC32" s="144"/>
      <c r="AD32" s="144"/>
      <c r="AE32" s="144"/>
      <c r="AF32" s="144"/>
      <c r="AG32" s="144"/>
      <c r="AH32" s="144"/>
      <c r="AI32" s="144"/>
      <c r="AJ32" s="144"/>
      <c r="AK32" s="144"/>
      <c r="AL32" s="144"/>
      <c r="AM32" s="144"/>
      <c r="AN32" s="144"/>
      <c r="AO32" s="144"/>
      <c r="AP32" s="144"/>
      <c r="AQ32" s="144"/>
      <c r="AR32" s="144"/>
    </row>
    <row r="33" spans="1:44">
      <c r="A33" s="144"/>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4"/>
      <c r="AC33" s="144"/>
      <c r="AD33" s="144"/>
      <c r="AE33" s="144"/>
      <c r="AF33" s="144"/>
      <c r="AG33" s="144"/>
      <c r="AH33" s="144"/>
      <c r="AI33" s="144"/>
      <c r="AJ33" s="144"/>
      <c r="AK33" s="144"/>
      <c r="AL33" s="144"/>
      <c r="AM33" s="144"/>
      <c r="AN33" s="144"/>
      <c r="AO33" s="144"/>
      <c r="AP33" s="144"/>
      <c r="AQ33" s="144"/>
      <c r="AR33" s="144"/>
    </row>
    <row r="34" spans="1:44">
      <c r="A34" s="144"/>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4"/>
      <c r="AC34" s="144"/>
      <c r="AD34" s="144"/>
      <c r="AE34" s="144"/>
      <c r="AF34" s="144"/>
      <c r="AG34" s="144"/>
      <c r="AH34" s="144"/>
      <c r="AI34" s="144"/>
      <c r="AJ34" s="144"/>
      <c r="AK34" s="144"/>
      <c r="AL34" s="144"/>
      <c r="AM34" s="144"/>
      <c r="AN34" s="144"/>
      <c r="AO34" s="144"/>
      <c r="AP34" s="144"/>
      <c r="AQ34" s="144"/>
      <c r="AR34" s="144"/>
    </row>
    <row r="35" spans="1:44" ht="14.4" customHeight="1" thickBot="1">
      <c r="A35" s="144"/>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4"/>
      <c r="AC35" s="144"/>
      <c r="AD35" s="144"/>
      <c r="AE35" s="144"/>
      <c r="AF35" s="144"/>
      <c r="AG35" s="144"/>
      <c r="AH35" s="144"/>
      <c r="AI35" s="144"/>
      <c r="AJ35" s="144"/>
      <c r="AK35" s="144"/>
      <c r="AL35" s="144"/>
      <c r="AM35" s="144"/>
      <c r="AN35" s="144"/>
      <c r="AO35" s="144"/>
      <c r="AP35" s="144"/>
      <c r="AQ35" s="144"/>
      <c r="AR35" s="144"/>
    </row>
    <row r="36" spans="1:44" ht="14.4" customHeight="1">
      <c r="A36" s="144"/>
      <c r="B36" s="144"/>
      <c r="C36" s="144"/>
      <c r="D36" s="144"/>
      <c r="E36" s="144"/>
      <c r="F36" s="144"/>
      <c r="G36" s="144"/>
      <c r="H36" s="144"/>
      <c r="I36" s="144"/>
      <c r="J36" s="144"/>
      <c r="K36" s="144"/>
      <c r="L36" s="144"/>
      <c r="M36" s="144"/>
      <c r="N36" s="144"/>
      <c r="O36" s="144"/>
      <c r="P36" s="144"/>
      <c r="Q36" s="144"/>
      <c r="R36" s="144"/>
      <c r="S36" s="144"/>
      <c r="T36" s="144"/>
      <c r="U36" s="144"/>
      <c r="V36" s="144"/>
      <c r="W36" s="144"/>
      <c r="X36" s="144"/>
      <c r="Y36" s="144"/>
      <c r="Z36" s="144"/>
      <c r="AA36" s="144"/>
      <c r="AB36" s="144"/>
      <c r="AC36" s="144"/>
      <c r="AD36" s="144"/>
      <c r="AE36" s="144"/>
      <c r="AF36" s="144"/>
      <c r="AG36" s="144"/>
      <c r="AH36" s="144"/>
      <c r="AI36" s="144"/>
      <c r="AJ36" s="168" t="s">
        <v>670</v>
      </c>
      <c r="AK36" s="169"/>
      <c r="AL36" s="169"/>
      <c r="AM36" s="169"/>
      <c r="AN36" s="169"/>
      <c r="AO36" s="170"/>
      <c r="AP36" s="144"/>
      <c r="AQ36" s="144"/>
      <c r="AR36" s="144"/>
    </row>
    <row r="37" spans="1:44" ht="14.4" customHeight="1">
      <c r="A37" s="144"/>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4"/>
      <c r="AC37" s="144"/>
      <c r="AD37" s="144"/>
      <c r="AE37" s="144"/>
      <c r="AF37" s="144"/>
      <c r="AG37" s="144"/>
      <c r="AH37" s="144"/>
      <c r="AI37" s="144"/>
      <c r="AJ37" s="171"/>
      <c r="AK37" s="172"/>
      <c r="AL37" s="172"/>
      <c r="AM37" s="172"/>
      <c r="AN37" s="172"/>
      <c r="AO37" s="173"/>
      <c r="AP37" s="144"/>
      <c r="AQ37" s="144"/>
      <c r="AR37" s="144"/>
    </row>
    <row r="38" spans="1:44" ht="14.4" customHeight="1">
      <c r="A38" s="144"/>
      <c r="B38" s="144"/>
      <c r="C38" s="144"/>
      <c r="D38" s="144"/>
      <c r="E38" s="144"/>
      <c r="F38" s="144"/>
      <c r="G38" s="144"/>
      <c r="H38" s="144"/>
      <c r="I38" s="144"/>
      <c r="J38" s="144"/>
      <c r="K38" s="144"/>
      <c r="L38" s="144"/>
      <c r="M38" s="144"/>
      <c r="N38" s="144"/>
      <c r="O38" s="144"/>
      <c r="P38" s="144"/>
      <c r="Q38" s="144"/>
      <c r="R38" s="144"/>
      <c r="S38" s="144"/>
      <c r="T38" s="144"/>
      <c r="U38" s="144"/>
      <c r="V38" s="144"/>
      <c r="W38" s="144"/>
      <c r="X38" s="144"/>
      <c r="Y38" s="144"/>
      <c r="Z38" s="144"/>
      <c r="AA38" s="144"/>
      <c r="AB38" s="144"/>
      <c r="AC38" s="144"/>
      <c r="AD38" s="144"/>
      <c r="AE38" s="144"/>
      <c r="AF38" s="144"/>
      <c r="AG38" s="144"/>
      <c r="AH38" s="144"/>
      <c r="AI38" s="144"/>
      <c r="AJ38" s="162">
        <f>AVERAGE('Final Project Dataset'!N2:N251)</f>
        <v>916.76988000000131</v>
      </c>
      <c r="AK38" s="163"/>
      <c r="AL38" s="163"/>
      <c r="AM38" s="163"/>
      <c r="AN38" s="163"/>
      <c r="AO38" s="164"/>
      <c r="AP38" s="144"/>
      <c r="AQ38" s="144"/>
      <c r="AR38" s="144"/>
    </row>
    <row r="39" spans="1:44" ht="15" customHeight="1">
      <c r="A39" s="144"/>
      <c r="B39" s="144"/>
      <c r="C39" s="144"/>
      <c r="D39" s="144"/>
      <c r="E39" s="144"/>
      <c r="F39" s="144"/>
      <c r="G39" s="144"/>
      <c r="H39" s="144"/>
      <c r="I39" s="144"/>
      <c r="J39" s="144"/>
      <c r="K39" s="144"/>
      <c r="L39" s="144"/>
      <c r="M39" s="144"/>
      <c r="N39" s="144"/>
      <c r="O39" s="144"/>
      <c r="P39" s="144"/>
      <c r="Q39" s="144"/>
      <c r="R39" s="144"/>
      <c r="S39" s="144"/>
      <c r="T39" s="144"/>
      <c r="U39" s="144"/>
      <c r="V39" s="144"/>
      <c r="W39" s="144"/>
      <c r="X39" s="144"/>
      <c r="Y39" s="144"/>
      <c r="Z39" s="144"/>
      <c r="AA39" s="144"/>
      <c r="AB39" s="144"/>
      <c r="AC39" s="144"/>
      <c r="AD39" s="144"/>
      <c r="AE39" s="144"/>
      <c r="AF39" s="144"/>
      <c r="AG39" s="144"/>
      <c r="AH39" s="144"/>
      <c r="AI39" s="144"/>
      <c r="AJ39" s="162"/>
      <c r="AK39" s="163"/>
      <c r="AL39" s="163"/>
      <c r="AM39" s="163"/>
      <c r="AN39" s="163"/>
      <c r="AO39" s="164"/>
      <c r="AP39" s="144"/>
      <c r="AQ39" s="144"/>
      <c r="AR39" s="144"/>
    </row>
    <row r="40" spans="1:44">
      <c r="A40" s="144"/>
      <c r="B40" s="144"/>
      <c r="C40" s="144"/>
      <c r="D40" s="144"/>
      <c r="E40" s="144"/>
      <c r="F40" s="144"/>
      <c r="G40" s="144"/>
      <c r="H40" s="144"/>
      <c r="I40" s="144"/>
      <c r="J40" s="144"/>
      <c r="K40" s="144"/>
      <c r="L40" s="144"/>
      <c r="M40" s="144"/>
      <c r="N40" s="144"/>
      <c r="O40" s="144"/>
      <c r="P40" s="144"/>
      <c r="Q40" s="144"/>
      <c r="R40" s="144"/>
      <c r="S40" s="144"/>
      <c r="T40" s="144"/>
      <c r="U40" s="144"/>
      <c r="V40" s="144"/>
      <c r="W40" s="144"/>
      <c r="X40" s="144"/>
      <c r="Y40" s="144"/>
      <c r="Z40" s="144"/>
      <c r="AA40" s="144"/>
      <c r="AB40" s="144"/>
      <c r="AC40" s="144"/>
      <c r="AD40" s="144"/>
      <c r="AE40" s="144"/>
      <c r="AF40" s="144"/>
      <c r="AG40" s="144"/>
      <c r="AH40" s="144"/>
      <c r="AI40" s="144"/>
      <c r="AJ40" s="162"/>
      <c r="AK40" s="163"/>
      <c r="AL40" s="163"/>
      <c r="AM40" s="163"/>
      <c r="AN40" s="163"/>
      <c r="AO40" s="164"/>
      <c r="AP40" s="144"/>
      <c r="AQ40" s="144"/>
      <c r="AR40" s="144"/>
    </row>
    <row r="41" spans="1:44" ht="15" thickBot="1">
      <c r="A41" s="144"/>
      <c r="B41" s="144"/>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65"/>
      <c r="AK41" s="166"/>
      <c r="AL41" s="166"/>
      <c r="AM41" s="166"/>
      <c r="AN41" s="166"/>
      <c r="AO41" s="167"/>
      <c r="AP41" s="144"/>
      <c r="AQ41" s="144"/>
      <c r="AR41" s="144"/>
    </row>
    <row r="42" spans="1:44">
      <c r="A42" s="144"/>
      <c r="B42" s="144"/>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44"/>
      <c r="AA42" s="144"/>
      <c r="AB42" s="144"/>
      <c r="AC42" s="144"/>
      <c r="AD42" s="144"/>
      <c r="AE42" s="144"/>
      <c r="AF42" s="144"/>
      <c r="AG42" s="144"/>
      <c r="AH42" s="144"/>
      <c r="AI42" s="144"/>
      <c r="AJ42" s="144"/>
      <c r="AK42" s="144"/>
      <c r="AL42" s="144"/>
      <c r="AM42" s="144"/>
      <c r="AN42" s="144"/>
      <c r="AO42" s="144"/>
      <c r="AP42" s="144"/>
      <c r="AQ42" s="144"/>
      <c r="AR42" s="144"/>
    </row>
    <row r="43" spans="1:44" ht="14.4" customHeight="1">
      <c r="A43" s="144"/>
      <c r="B43" s="144"/>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c r="AA43" s="144"/>
      <c r="AB43" s="144"/>
      <c r="AC43" s="144"/>
      <c r="AD43" s="144"/>
      <c r="AE43" s="144"/>
      <c r="AF43" s="144"/>
      <c r="AG43" s="144"/>
      <c r="AH43" s="144"/>
      <c r="AI43" s="144"/>
      <c r="AJ43" s="144"/>
      <c r="AK43" s="144"/>
      <c r="AL43" s="144"/>
      <c r="AM43" s="144"/>
      <c r="AN43" s="144"/>
      <c r="AO43" s="144"/>
      <c r="AP43" s="144"/>
      <c r="AQ43" s="144"/>
      <c r="AR43" s="144"/>
    </row>
    <row r="44" spans="1:44" ht="14.4" customHeight="1">
      <c r="A44" s="144"/>
      <c r="B44" s="144"/>
      <c r="C44" s="144"/>
      <c r="D44" s="144"/>
      <c r="E44" s="144"/>
      <c r="F44" s="144"/>
      <c r="G44" s="144"/>
      <c r="H44" s="144"/>
      <c r="I44" s="144"/>
      <c r="J44" s="144"/>
      <c r="K44" s="144"/>
      <c r="L44" s="144"/>
      <c r="M44" s="144"/>
      <c r="N44" s="144"/>
      <c r="O44" s="144"/>
      <c r="P44" s="144"/>
      <c r="Q44" s="144"/>
      <c r="R44" s="144"/>
      <c r="S44" s="144"/>
      <c r="T44" s="144"/>
      <c r="U44" s="144"/>
      <c r="V44" s="144"/>
      <c r="W44" s="144"/>
      <c r="X44" s="144"/>
      <c r="Y44" s="144"/>
      <c r="Z44" s="144"/>
      <c r="AA44" s="144"/>
      <c r="AB44" s="144"/>
      <c r="AC44" s="144"/>
      <c r="AD44" s="144"/>
      <c r="AE44" s="144"/>
      <c r="AF44" s="144"/>
      <c r="AG44" s="144"/>
      <c r="AH44" s="144"/>
      <c r="AI44" s="144"/>
      <c r="AJ44" s="144"/>
      <c r="AK44" s="144"/>
      <c r="AL44" s="144"/>
      <c r="AM44" s="144"/>
      <c r="AN44" s="144"/>
      <c r="AO44" s="144"/>
      <c r="AP44" s="144"/>
      <c r="AQ44" s="144"/>
      <c r="AR44" s="144"/>
    </row>
    <row r="45" spans="1:44" ht="14.4" customHeight="1">
      <c r="A45" s="144"/>
      <c r="B45" s="144"/>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c r="AA45" s="144"/>
      <c r="AB45" s="144"/>
      <c r="AC45" s="144"/>
      <c r="AD45" s="144"/>
      <c r="AE45" s="144"/>
      <c r="AF45" s="144"/>
      <c r="AG45" s="144"/>
      <c r="AH45" s="144"/>
      <c r="AI45" s="144"/>
      <c r="AJ45" s="144"/>
      <c r="AK45" s="144"/>
      <c r="AL45" s="144"/>
      <c r="AM45" s="144"/>
      <c r="AN45" s="144"/>
      <c r="AO45" s="144"/>
      <c r="AP45" s="144"/>
      <c r="AQ45" s="144"/>
      <c r="AR45" s="144"/>
    </row>
    <row r="46" spans="1:44" ht="14.4" customHeight="1">
      <c r="A46" s="144"/>
      <c r="B46" s="144"/>
      <c r="C46" s="144"/>
      <c r="D46" s="144"/>
      <c r="E46" s="144"/>
      <c r="F46" s="144"/>
      <c r="G46" s="144"/>
      <c r="H46" s="144"/>
      <c r="I46" s="144"/>
      <c r="J46" s="144"/>
      <c r="K46" s="144"/>
      <c r="L46" s="144"/>
      <c r="M46" s="144"/>
      <c r="N46" s="144"/>
      <c r="O46" s="144"/>
      <c r="P46" s="144"/>
      <c r="Q46" s="144"/>
      <c r="R46" s="144"/>
      <c r="S46" s="144"/>
      <c r="T46" s="144"/>
      <c r="U46" s="144"/>
      <c r="V46" s="144"/>
      <c r="W46" s="144"/>
      <c r="X46" s="144"/>
      <c r="Y46" s="144"/>
      <c r="Z46" s="144"/>
      <c r="AA46" s="144"/>
      <c r="AB46" s="144"/>
      <c r="AC46" s="144"/>
      <c r="AD46" s="144"/>
      <c r="AE46" s="144"/>
      <c r="AF46" s="144"/>
      <c r="AG46" s="144"/>
      <c r="AH46" s="144"/>
      <c r="AI46" s="144"/>
      <c r="AJ46" s="144"/>
      <c r="AK46" s="144"/>
      <c r="AL46" s="144"/>
      <c r="AM46" s="144"/>
      <c r="AN46" s="144"/>
      <c r="AO46" s="144"/>
      <c r="AP46" s="144"/>
      <c r="AQ46" s="144"/>
      <c r="AR46" s="144"/>
    </row>
    <row r="47" spans="1:44" ht="15" customHeight="1">
      <c r="A47" s="144"/>
      <c r="B47" s="144"/>
      <c r="C47" s="144"/>
      <c r="D47" s="144"/>
      <c r="E47" s="144"/>
      <c r="F47" s="144"/>
      <c r="G47" s="144"/>
      <c r="H47" s="144"/>
      <c r="I47" s="144"/>
      <c r="J47" s="144"/>
      <c r="K47" s="144"/>
      <c r="L47" s="144"/>
      <c r="M47" s="144"/>
      <c r="N47" s="144"/>
      <c r="O47" s="144"/>
      <c r="P47" s="144"/>
      <c r="Q47" s="144"/>
      <c r="R47" s="144"/>
      <c r="S47" s="144"/>
      <c r="T47" s="144"/>
      <c r="U47" s="144"/>
      <c r="V47" s="144"/>
      <c r="W47" s="144"/>
      <c r="X47" s="144"/>
      <c r="Y47" s="144"/>
      <c r="Z47" s="144"/>
      <c r="AA47" s="144"/>
      <c r="AB47" s="144"/>
      <c r="AC47" s="144"/>
      <c r="AD47" s="144"/>
      <c r="AE47" s="144"/>
      <c r="AF47" s="144"/>
      <c r="AG47" s="144"/>
      <c r="AH47" s="144"/>
      <c r="AI47" s="144"/>
      <c r="AJ47" s="144"/>
      <c r="AK47" s="144"/>
      <c r="AL47" s="144"/>
      <c r="AM47" s="144"/>
      <c r="AN47" s="144"/>
      <c r="AO47" s="144"/>
      <c r="AP47" s="144"/>
      <c r="AQ47" s="144"/>
      <c r="AR47" s="144"/>
    </row>
    <row r="48" spans="1:44" ht="15" thickBot="1">
      <c r="A48" s="144"/>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c r="AA48" s="144"/>
      <c r="AB48" s="144"/>
      <c r="AC48" s="144"/>
      <c r="AD48" s="144"/>
      <c r="AE48" s="144"/>
      <c r="AF48" s="144"/>
      <c r="AG48" s="144"/>
      <c r="AH48" s="144"/>
      <c r="AI48" s="144"/>
      <c r="AJ48" s="144"/>
      <c r="AK48" s="144"/>
      <c r="AL48" s="144"/>
      <c r="AM48" s="144"/>
      <c r="AN48" s="144"/>
      <c r="AO48" s="144"/>
      <c r="AP48" s="144"/>
      <c r="AQ48" s="144"/>
      <c r="AR48" s="144"/>
    </row>
    <row r="49" spans="1:52">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c r="AA49" s="144"/>
      <c r="AB49" s="144"/>
      <c r="AC49" s="144"/>
      <c r="AD49" s="144"/>
      <c r="AE49" s="144"/>
      <c r="AF49" s="144"/>
      <c r="AG49" s="144"/>
      <c r="AH49" s="144"/>
      <c r="AI49" s="144"/>
      <c r="AJ49" s="168" t="s">
        <v>540</v>
      </c>
      <c r="AK49" s="169"/>
      <c r="AL49" s="169"/>
      <c r="AM49" s="169"/>
      <c r="AN49" s="169"/>
      <c r="AO49" s="170"/>
      <c r="AP49" s="144"/>
      <c r="AQ49" s="144"/>
      <c r="AR49" s="144"/>
    </row>
    <row r="50" spans="1:52">
      <c r="A50" s="144"/>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c r="AA50" s="144"/>
      <c r="AB50" s="144"/>
      <c r="AC50" s="144"/>
      <c r="AD50" s="144"/>
      <c r="AE50" s="144"/>
      <c r="AF50" s="144"/>
      <c r="AG50" s="144"/>
      <c r="AH50" s="144"/>
      <c r="AI50" s="144"/>
      <c r="AJ50" s="171"/>
      <c r="AK50" s="172"/>
      <c r="AL50" s="172"/>
      <c r="AM50" s="172"/>
      <c r="AN50" s="172"/>
      <c r="AO50" s="173"/>
      <c r="AP50" s="144"/>
      <c r="AQ50" s="144"/>
      <c r="AR50" s="144"/>
    </row>
    <row r="51" spans="1:52">
      <c r="A51" s="144"/>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c r="AA51" s="144"/>
      <c r="AB51" s="144"/>
      <c r="AC51" s="144"/>
      <c r="AD51" s="144"/>
      <c r="AE51" s="144"/>
      <c r="AF51" s="144"/>
      <c r="AG51" s="144"/>
      <c r="AH51" s="144"/>
      <c r="AI51" s="144"/>
      <c r="AJ51" s="156" t="str">
        <f>Pivot_Table!A11</f>
        <v>East</v>
      </c>
      <c r="AK51" s="157"/>
      <c r="AL51" s="157"/>
      <c r="AM51" s="157"/>
      <c r="AN51" s="157"/>
      <c r="AO51" s="158"/>
      <c r="AP51" s="144"/>
      <c r="AQ51" s="144"/>
      <c r="AR51" s="144"/>
    </row>
    <row r="52" spans="1:52">
      <c r="A52" s="144"/>
      <c r="B52" s="144"/>
      <c r="C52" s="144"/>
      <c r="D52" s="144"/>
      <c r="E52" s="144"/>
      <c r="F52" s="144"/>
      <c r="G52" s="144"/>
      <c r="H52" s="144"/>
      <c r="I52" s="144"/>
      <c r="J52" s="144"/>
      <c r="K52" s="144"/>
      <c r="L52" s="144"/>
      <c r="M52" s="144"/>
      <c r="N52" s="144"/>
      <c r="O52" s="144"/>
      <c r="P52" s="144"/>
      <c r="Q52" s="144"/>
      <c r="R52" s="144"/>
      <c r="S52" s="144"/>
      <c r="T52" s="144"/>
      <c r="U52" s="144"/>
      <c r="V52" s="144"/>
      <c r="W52" s="144"/>
      <c r="X52" s="144"/>
      <c r="Y52" s="144"/>
      <c r="Z52" s="144"/>
      <c r="AA52" s="144"/>
      <c r="AB52" s="144"/>
      <c r="AC52" s="144"/>
      <c r="AD52" s="144"/>
      <c r="AE52" s="144"/>
      <c r="AF52" s="144"/>
      <c r="AG52" s="144"/>
      <c r="AH52" s="144"/>
      <c r="AI52" s="144"/>
      <c r="AJ52" s="156"/>
      <c r="AK52" s="157"/>
      <c r="AL52" s="157"/>
      <c r="AM52" s="157"/>
      <c r="AN52" s="157"/>
      <c r="AO52" s="158"/>
      <c r="AP52" s="144"/>
      <c r="AQ52" s="144"/>
      <c r="AR52" s="144"/>
    </row>
    <row r="53" spans="1:52">
      <c r="A53" s="144"/>
      <c r="B53" s="144"/>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44"/>
      <c r="AA53" s="144"/>
      <c r="AB53" s="144"/>
      <c r="AC53" s="144"/>
      <c r="AD53" s="144"/>
      <c r="AE53" s="144"/>
      <c r="AF53" s="144"/>
      <c r="AG53" s="144"/>
      <c r="AH53" s="144"/>
      <c r="AI53" s="144"/>
      <c r="AJ53" s="156"/>
      <c r="AK53" s="157"/>
      <c r="AL53" s="157"/>
      <c r="AM53" s="157"/>
      <c r="AN53" s="157"/>
      <c r="AO53" s="158"/>
      <c r="AP53" s="144"/>
      <c r="AQ53" s="144"/>
      <c r="AR53" s="144"/>
    </row>
    <row r="54" spans="1:52" ht="15" thickBot="1">
      <c r="A54" s="144"/>
      <c r="B54" s="144"/>
      <c r="C54" s="144"/>
      <c r="D54" s="144"/>
      <c r="E54" s="144"/>
      <c r="F54" s="144"/>
      <c r="G54" s="144"/>
      <c r="H54" s="144"/>
      <c r="I54" s="144"/>
      <c r="J54" s="144"/>
      <c r="K54" s="144"/>
      <c r="L54" s="144"/>
      <c r="M54" s="144"/>
      <c r="N54" s="144"/>
      <c r="O54" s="144"/>
      <c r="P54" s="144"/>
      <c r="Q54" s="144"/>
      <c r="R54" s="144"/>
      <c r="S54" s="144"/>
      <c r="T54" s="144"/>
      <c r="U54" s="144"/>
      <c r="V54" s="144"/>
      <c r="W54" s="144"/>
      <c r="X54" s="144"/>
      <c r="Y54" s="144"/>
      <c r="Z54" s="144"/>
      <c r="AA54" s="144"/>
      <c r="AB54" s="144"/>
      <c r="AC54" s="144"/>
      <c r="AD54" s="144"/>
      <c r="AE54" s="144"/>
      <c r="AF54" s="144"/>
      <c r="AG54" s="144"/>
      <c r="AH54" s="144"/>
      <c r="AI54" s="144"/>
      <c r="AJ54" s="159"/>
      <c r="AK54" s="160"/>
      <c r="AL54" s="160"/>
      <c r="AM54" s="160"/>
      <c r="AN54" s="160"/>
      <c r="AO54" s="161"/>
      <c r="AP54" s="144"/>
      <c r="AQ54" s="144"/>
      <c r="AR54" s="144"/>
    </row>
    <row r="55" spans="1:52">
      <c r="A55" s="144"/>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c r="AA55" s="144"/>
      <c r="AB55" s="144"/>
      <c r="AC55" s="144"/>
      <c r="AD55" s="144"/>
      <c r="AE55" s="144"/>
      <c r="AF55" s="144"/>
      <c r="AG55" s="144"/>
      <c r="AH55" s="144"/>
      <c r="AI55" s="144"/>
      <c r="AJ55" s="144"/>
      <c r="AK55" s="144"/>
      <c r="AL55" s="144"/>
      <c r="AM55" s="144"/>
      <c r="AN55" s="144"/>
      <c r="AO55" s="144"/>
      <c r="AP55" s="144"/>
      <c r="AQ55" s="144"/>
      <c r="AR55" s="144"/>
    </row>
    <row r="56" spans="1:52">
      <c r="A56" s="144"/>
      <c r="B56" s="144"/>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c r="AC56" s="144"/>
      <c r="AD56" s="144"/>
      <c r="AE56" s="144"/>
      <c r="AF56" s="144"/>
      <c r="AG56" s="144"/>
      <c r="AH56" s="144"/>
      <c r="AI56" s="144"/>
      <c r="AJ56" s="144"/>
      <c r="AK56" s="144"/>
      <c r="AL56" s="144"/>
      <c r="AM56" s="144"/>
      <c r="AN56" s="144"/>
      <c r="AO56" s="144"/>
      <c r="AP56" s="144"/>
      <c r="AQ56" s="144"/>
      <c r="AR56" s="144"/>
    </row>
    <row r="57" spans="1:52">
      <c r="A57" s="144"/>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c r="AA57" s="144"/>
      <c r="AB57" s="144"/>
      <c r="AC57" s="144"/>
      <c r="AD57" s="144"/>
      <c r="AE57" s="144"/>
      <c r="AF57" s="144"/>
      <c r="AG57" s="144"/>
      <c r="AH57" s="144"/>
      <c r="AI57" s="144"/>
      <c r="AJ57" s="144"/>
      <c r="AK57" s="144"/>
      <c r="AL57" s="144"/>
      <c r="AM57" s="144"/>
      <c r="AN57" s="144"/>
      <c r="AO57" s="144"/>
      <c r="AP57" s="144"/>
      <c r="AQ57" s="144"/>
      <c r="AR57" s="144"/>
    </row>
    <row r="58" spans="1:52">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c r="AA58" s="144"/>
      <c r="AB58" s="144"/>
      <c r="AC58" s="144"/>
      <c r="AD58" s="144"/>
      <c r="AE58" s="144"/>
      <c r="AF58" s="144"/>
      <c r="AG58" s="144"/>
      <c r="AH58" s="144"/>
      <c r="AI58" s="144"/>
      <c r="AJ58" s="144"/>
      <c r="AK58" s="144"/>
      <c r="AL58" s="144"/>
      <c r="AM58" s="144"/>
      <c r="AN58" s="144"/>
      <c r="AO58" s="144"/>
      <c r="AP58" s="144"/>
      <c r="AQ58" s="144"/>
      <c r="AR58" s="144"/>
      <c r="AZ58" t="s">
        <v>671</v>
      </c>
    </row>
    <row r="59" spans="1:52">
      <c r="A59" s="144"/>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c r="AA59" s="144"/>
      <c r="AB59" s="144"/>
      <c r="AC59" s="144"/>
      <c r="AD59" s="144"/>
      <c r="AE59" s="144"/>
      <c r="AF59" s="144"/>
      <c r="AG59" s="144"/>
      <c r="AH59" s="144"/>
      <c r="AI59" s="144"/>
      <c r="AJ59" s="144"/>
      <c r="AK59" s="144"/>
      <c r="AL59" s="144"/>
      <c r="AM59" s="144"/>
      <c r="AN59" s="144"/>
      <c r="AO59" s="144"/>
      <c r="AP59" s="144"/>
      <c r="AQ59" s="144"/>
      <c r="AR59" s="144"/>
    </row>
    <row r="60" spans="1:52">
      <c r="A60" s="144"/>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c r="AA60" s="144"/>
      <c r="AB60" s="144"/>
      <c r="AC60" s="144"/>
      <c r="AD60" s="144"/>
      <c r="AE60" s="144"/>
      <c r="AF60" s="144"/>
      <c r="AG60" s="144"/>
      <c r="AH60" s="144"/>
      <c r="AI60" s="144"/>
      <c r="AJ60" s="144"/>
      <c r="AK60" s="144"/>
      <c r="AL60" s="144"/>
      <c r="AM60" s="144"/>
      <c r="AN60" s="144"/>
      <c r="AO60" s="144"/>
      <c r="AP60" s="144"/>
      <c r="AQ60" s="144"/>
      <c r="AR60" s="144"/>
    </row>
    <row r="61" spans="1:52" ht="15" thickBot="1">
      <c r="A61" s="144"/>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c r="AA61" s="144"/>
      <c r="AB61" s="144"/>
      <c r="AC61" s="144"/>
      <c r="AD61" s="144"/>
      <c r="AE61" s="144"/>
      <c r="AF61" s="144"/>
      <c r="AG61" s="144"/>
      <c r="AH61" s="144"/>
      <c r="AI61" s="144"/>
      <c r="AJ61" s="144"/>
      <c r="AK61" s="144"/>
      <c r="AL61" s="144"/>
      <c r="AM61" s="144"/>
      <c r="AN61" s="144"/>
      <c r="AO61" s="144"/>
      <c r="AP61" s="144"/>
      <c r="AQ61" s="144"/>
      <c r="AR61" s="144"/>
    </row>
    <row r="62" spans="1:52">
      <c r="A62" s="144"/>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c r="AA62" s="144"/>
      <c r="AB62" s="144"/>
      <c r="AC62" s="144"/>
      <c r="AD62" s="144"/>
      <c r="AE62" s="144"/>
      <c r="AF62" s="144"/>
      <c r="AG62" s="144"/>
      <c r="AH62" s="144"/>
      <c r="AI62" s="144"/>
      <c r="AJ62" s="168" t="s">
        <v>543</v>
      </c>
      <c r="AK62" s="169"/>
      <c r="AL62" s="169"/>
      <c r="AM62" s="169"/>
      <c r="AN62" s="169"/>
      <c r="AO62" s="170"/>
      <c r="AP62" s="144"/>
      <c r="AQ62" s="144"/>
      <c r="AR62" s="144"/>
    </row>
    <row r="63" spans="1:52">
      <c r="A63" s="144"/>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c r="AA63" s="144"/>
      <c r="AB63" s="144"/>
      <c r="AC63" s="144"/>
      <c r="AD63" s="144"/>
      <c r="AE63" s="144"/>
      <c r="AF63" s="144"/>
      <c r="AG63" s="144"/>
      <c r="AH63" s="144"/>
      <c r="AI63" s="144"/>
      <c r="AJ63" s="171"/>
      <c r="AK63" s="172"/>
      <c r="AL63" s="172"/>
      <c r="AM63" s="172"/>
      <c r="AN63" s="172"/>
      <c r="AO63" s="173"/>
      <c r="AP63" s="144"/>
      <c r="AQ63" s="144"/>
      <c r="AR63" s="144"/>
    </row>
    <row r="64" spans="1:52">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c r="AA64" s="144"/>
      <c r="AB64" s="144"/>
      <c r="AC64" s="144"/>
      <c r="AD64" s="144"/>
      <c r="AE64" s="144"/>
      <c r="AF64" s="144"/>
      <c r="AG64" s="144"/>
      <c r="AH64" s="144"/>
      <c r="AI64" s="144"/>
      <c r="AJ64" s="156" t="str">
        <f>Pivot_Table!A36</f>
        <v>Laptop</v>
      </c>
      <c r="AK64" s="157"/>
      <c r="AL64" s="157"/>
      <c r="AM64" s="157"/>
      <c r="AN64" s="157"/>
      <c r="AO64" s="158"/>
      <c r="AP64" s="144"/>
      <c r="AQ64" s="144"/>
      <c r="AR64" s="144"/>
    </row>
    <row r="65" spans="1:44">
      <c r="A65" s="144"/>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c r="AA65" s="144"/>
      <c r="AB65" s="144"/>
      <c r="AC65" s="144"/>
      <c r="AD65" s="144"/>
      <c r="AE65" s="144"/>
      <c r="AF65" s="144"/>
      <c r="AG65" s="144"/>
      <c r="AH65" s="144"/>
      <c r="AI65" s="144"/>
      <c r="AJ65" s="156"/>
      <c r="AK65" s="157"/>
      <c r="AL65" s="157"/>
      <c r="AM65" s="157"/>
      <c r="AN65" s="157"/>
      <c r="AO65" s="158"/>
      <c r="AP65" s="144"/>
      <c r="AQ65" s="144"/>
      <c r="AR65" s="144"/>
    </row>
    <row r="66" spans="1:44">
      <c r="A66" s="144"/>
      <c r="B66" s="144"/>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c r="AA66" s="144"/>
      <c r="AB66" s="144"/>
      <c r="AC66" s="144"/>
      <c r="AD66" s="144"/>
      <c r="AE66" s="144"/>
      <c r="AF66" s="144"/>
      <c r="AG66" s="144"/>
      <c r="AH66" s="144"/>
      <c r="AI66" s="144"/>
      <c r="AJ66" s="156"/>
      <c r="AK66" s="157"/>
      <c r="AL66" s="157"/>
      <c r="AM66" s="157"/>
      <c r="AN66" s="157"/>
      <c r="AO66" s="158"/>
      <c r="AP66" s="144"/>
      <c r="AQ66" s="144"/>
      <c r="AR66" s="144"/>
    </row>
    <row r="67" spans="1:44" ht="15" thickBot="1">
      <c r="A67" s="144"/>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c r="AA67" s="144"/>
      <c r="AB67" s="144"/>
      <c r="AC67" s="144"/>
      <c r="AD67" s="144"/>
      <c r="AE67" s="144"/>
      <c r="AF67" s="144"/>
      <c r="AG67" s="144"/>
      <c r="AH67" s="144"/>
      <c r="AI67" s="144"/>
      <c r="AJ67" s="159"/>
      <c r="AK67" s="160"/>
      <c r="AL67" s="160"/>
      <c r="AM67" s="160"/>
      <c r="AN67" s="160"/>
      <c r="AO67" s="161"/>
      <c r="AP67" s="144"/>
      <c r="AQ67" s="144"/>
      <c r="AR67" s="144"/>
    </row>
    <row r="68" spans="1:44">
      <c r="A68" s="144"/>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c r="AA68" s="144"/>
      <c r="AB68" s="144"/>
      <c r="AC68" s="144"/>
      <c r="AD68" s="144"/>
      <c r="AE68" s="144"/>
      <c r="AF68" s="144"/>
      <c r="AG68" s="144"/>
      <c r="AH68" s="144"/>
      <c r="AI68" s="144"/>
      <c r="AJ68" s="144"/>
      <c r="AK68" s="144"/>
      <c r="AL68" s="144"/>
      <c r="AM68" s="144"/>
      <c r="AN68" s="144"/>
      <c r="AO68" s="144"/>
      <c r="AP68" s="144"/>
      <c r="AQ68" s="144"/>
      <c r="AR68" s="144"/>
    </row>
    <row r="69" spans="1:44">
      <c r="A69" s="144"/>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c r="AA69" s="144"/>
      <c r="AB69" s="144"/>
      <c r="AC69" s="144"/>
      <c r="AD69" s="144"/>
      <c r="AE69" s="144"/>
      <c r="AF69" s="144"/>
      <c r="AG69" s="144"/>
      <c r="AH69" s="144"/>
      <c r="AI69" s="144"/>
      <c r="AJ69" s="144"/>
      <c r="AK69" s="144"/>
      <c r="AL69" s="144"/>
      <c r="AM69" s="144"/>
      <c r="AN69" s="144"/>
      <c r="AO69" s="144"/>
      <c r="AP69" s="144"/>
      <c r="AQ69" s="144"/>
      <c r="AR69" s="144"/>
    </row>
    <row r="70" spans="1:44">
      <c r="A70" s="144"/>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c r="AA70" s="144"/>
      <c r="AB70" s="144"/>
      <c r="AC70" s="144"/>
      <c r="AD70" s="144"/>
      <c r="AE70" s="144"/>
      <c r="AF70" s="144"/>
      <c r="AG70" s="144"/>
      <c r="AH70" s="144"/>
      <c r="AI70" s="144"/>
      <c r="AJ70" s="144"/>
      <c r="AK70" s="144"/>
      <c r="AL70" s="144"/>
      <c r="AM70" s="144"/>
      <c r="AN70" s="144"/>
      <c r="AO70" s="144"/>
      <c r="AP70" s="144"/>
      <c r="AQ70" s="144"/>
      <c r="AR70" s="144"/>
    </row>
    <row r="71" spans="1:44">
      <c r="A71" s="144"/>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c r="AA71" s="144"/>
      <c r="AB71" s="144"/>
      <c r="AC71" s="144"/>
      <c r="AD71" s="144"/>
      <c r="AE71" s="144"/>
      <c r="AF71" s="144"/>
      <c r="AG71" s="144"/>
      <c r="AH71" s="144"/>
      <c r="AI71" s="144"/>
      <c r="AJ71" s="144"/>
      <c r="AK71" s="144"/>
      <c r="AL71" s="144"/>
      <c r="AM71" s="144"/>
      <c r="AN71" s="144"/>
      <c r="AO71" s="144"/>
      <c r="AP71" s="144"/>
      <c r="AQ71" s="144"/>
      <c r="AR71" s="144"/>
    </row>
    <row r="72" spans="1:44">
      <c r="A72" s="144"/>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c r="AA72" s="144"/>
      <c r="AB72" s="144"/>
      <c r="AC72" s="144"/>
      <c r="AD72" s="144"/>
      <c r="AE72" s="144"/>
      <c r="AF72" s="144"/>
      <c r="AG72" s="144"/>
      <c r="AH72" s="144"/>
      <c r="AI72" s="144"/>
      <c r="AJ72" s="144"/>
      <c r="AK72" s="144"/>
      <c r="AL72" s="144"/>
      <c r="AM72" s="144"/>
      <c r="AN72" s="144"/>
      <c r="AO72" s="144"/>
      <c r="AP72" s="144"/>
      <c r="AQ72" s="144"/>
      <c r="AR72" s="144"/>
    </row>
    <row r="73" spans="1:44">
      <c r="A73" s="144"/>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c r="AA73" s="144"/>
      <c r="AB73" s="144"/>
      <c r="AC73" s="144"/>
      <c r="AD73" s="144"/>
      <c r="AE73" s="144"/>
      <c r="AF73" s="144"/>
      <c r="AG73" s="144"/>
      <c r="AH73" s="144"/>
      <c r="AI73" s="144"/>
      <c r="AJ73" s="144"/>
      <c r="AK73" s="144"/>
      <c r="AL73" s="144"/>
      <c r="AM73" s="144"/>
      <c r="AN73" s="144"/>
      <c r="AO73" s="144"/>
      <c r="AP73" s="144"/>
      <c r="AQ73" s="144"/>
      <c r="AR73" s="144"/>
    </row>
    <row r="74" spans="1:44">
      <c r="A74" s="144"/>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c r="AA74" s="144"/>
      <c r="AB74" s="144"/>
      <c r="AC74" s="144"/>
      <c r="AD74" s="144"/>
      <c r="AE74" s="144"/>
      <c r="AF74" s="144"/>
      <c r="AG74" s="144"/>
      <c r="AH74" s="144"/>
      <c r="AI74" s="144"/>
      <c r="AJ74" s="144"/>
      <c r="AK74" s="144"/>
      <c r="AL74" s="144"/>
      <c r="AM74" s="144"/>
      <c r="AN74" s="144"/>
      <c r="AO74" s="144"/>
      <c r="AP74" s="144"/>
      <c r="AQ74" s="144"/>
      <c r="AR74" s="144"/>
    </row>
    <row r="75" spans="1:44">
      <c r="A75" s="144"/>
      <c r="B75" s="144"/>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c r="AA75" s="144"/>
      <c r="AB75" s="144"/>
      <c r="AC75" s="144"/>
      <c r="AD75" s="144"/>
      <c r="AE75" s="144"/>
      <c r="AF75" s="144"/>
      <c r="AG75" s="144"/>
      <c r="AH75" s="144"/>
      <c r="AI75" s="144"/>
      <c r="AJ75" s="144"/>
      <c r="AK75" s="144"/>
      <c r="AL75" s="144"/>
      <c r="AM75" s="144"/>
      <c r="AN75" s="144"/>
      <c r="AO75" s="144"/>
      <c r="AP75" s="144"/>
      <c r="AQ75" s="144"/>
      <c r="AR75" s="144"/>
    </row>
    <row r="76" spans="1:44">
      <c r="A76" s="144"/>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c r="AA76" s="144"/>
      <c r="AB76" s="144"/>
      <c r="AC76" s="144"/>
      <c r="AD76" s="144"/>
      <c r="AE76" s="144"/>
      <c r="AF76" s="144"/>
      <c r="AG76" s="144"/>
      <c r="AH76" s="144"/>
      <c r="AI76" s="144"/>
      <c r="AJ76" s="144"/>
      <c r="AK76" s="144"/>
      <c r="AL76" s="144"/>
      <c r="AM76" s="144"/>
      <c r="AN76" s="144"/>
      <c r="AO76" s="144"/>
      <c r="AP76" s="144"/>
      <c r="AQ76" s="144"/>
      <c r="AR76" s="144"/>
    </row>
    <row r="77" spans="1:44">
      <c r="A77" s="144"/>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c r="AA77" s="144"/>
      <c r="AB77" s="144"/>
      <c r="AC77" s="144"/>
      <c r="AD77" s="144"/>
      <c r="AE77" s="144"/>
      <c r="AF77" s="144"/>
      <c r="AG77" s="144"/>
      <c r="AH77" s="144"/>
      <c r="AI77" s="144"/>
      <c r="AJ77" s="144"/>
      <c r="AK77" s="144"/>
      <c r="AL77" s="144"/>
      <c r="AM77" s="144"/>
      <c r="AN77" s="144"/>
      <c r="AO77" s="144"/>
      <c r="AP77" s="144"/>
      <c r="AQ77" s="144"/>
      <c r="AR77" s="144"/>
    </row>
    <row r="78" spans="1:44">
      <c r="A78" s="144"/>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c r="AA78" s="144"/>
      <c r="AB78" s="144"/>
      <c r="AC78" s="144"/>
      <c r="AD78" s="144"/>
      <c r="AE78" s="144"/>
      <c r="AF78" s="144"/>
      <c r="AG78" s="144"/>
      <c r="AH78" s="144"/>
      <c r="AI78" s="144"/>
      <c r="AJ78" s="144"/>
      <c r="AK78" s="144"/>
      <c r="AL78" s="144"/>
      <c r="AM78" s="144"/>
      <c r="AN78" s="144"/>
      <c r="AO78" s="144"/>
      <c r="AP78" s="144"/>
      <c r="AQ78" s="144"/>
      <c r="AR78" s="144"/>
    </row>
    <row r="79" spans="1:44">
      <c r="A79" s="144"/>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c r="AA79" s="144"/>
      <c r="AB79" s="144"/>
      <c r="AC79" s="144"/>
      <c r="AD79" s="144"/>
      <c r="AE79" s="144"/>
      <c r="AF79" s="144"/>
      <c r="AG79" s="144"/>
      <c r="AH79" s="144"/>
      <c r="AI79" s="144"/>
      <c r="AJ79" s="144"/>
      <c r="AK79" s="144"/>
      <c r="AL79" s="144"/>
      <c r="AM79" s="144"/>
      <c r="AN79" s="144"/>
      <c r="AO79" s="144"/>
      <c r="AP79" s="144"/>
      <c r="AQ79" s="144"/>
      <c r="AR79" s="144"/>
    </row>
    <row r="80" spans="1:44">
      <c r="A80" s="144"/>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c r="AA80" s="144"/>
      <c r="AB80" s="144"/>
      <c r="AC80" s="144"/>
      <c r="AD80" s="144"/>
      <c r="AE80" s="144"/>
      <c r="AF80" s="144"/>
      <c r="AG80" s="144"/>
      <c r="AH80" s="144"/>
      <c r="AI80" s="144"/>
      <c r="AJ80" s="144"/>
      <c r="AK80" s="144"/>
      <c r="AL80" s="144"/>
      <c r="AM80" s="144"/>
      <c r="AN80" s="144"/>
      <c r="AO80" s="144"/>
      <c r="AP80" s="144"/>
      <c r="AQ80" s="144"/>
      <c r="AR80" s="144"/>
    </row>
    <row r="81" spans="1:44">
      <c r="A81" s="144"/>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c r="AA81" s="144"/>
      <c r="AB81" s="144"/>
      <c r="AC81" s="144"/>
      <c r="AD81" s="144"/>
      <c r="AE81" s="144"/>
      <c r="AF81" s="144"/>
      <c r="AG81" s="144"/>
      <c r="AH81" s="144"/>
      <c r="AI81" s="144"/>
      <c r="AJ81" s="144"/>
      <c r="AK81" s="144"/>
      <c r="AL81" s="144"/>
      <c r="AM81" s="144"/>
      <c r="AN81" s="144"/>
      <c r="AO81" s="144"/>
      <c r="AP81" s="144"/>
      <c r="AQ81" s="144"/>
      <c r="AR81" s="144"/>
    </row>
    <row r="82" spans="1:44">
      <c r="A82" s="144"/>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c r="AA82" s="144"/>
      <c r="AB82" s="144"/>
      <c r="AC82" s="144"/>
      <c r="AD82" s="144"/>
      <c r="AE82" s="144"/>
      <c r="AF82" s="144"/>
      <c r="AG82" s="144"/>
      <c r="AH82" s="144"/>
      <c r="AI82" s="144"/>
      <c r="AJ82" s="144"/>
      <c r="AK82" s="144"/>
      <c r="AL82" s="144"/>
      <c r="AM82" s="144"/>
      <c r="AN82" s="144"/>
      <c r="AO82" s="144"/>
      <c r="AP82" s="144"/>
      <c r="AQ82" s="144"/>
      <c r="AR82" s="144"/>
    </row>
    <row r="83" spans="1:44">
      <c r="A83" s="144"/>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c r="AA83" s="144"/>
      <c r="AB83" s="144"/>
      <c r="AC83" s="144"/>
      <c r="AD83" s="144"/>
      <c r="AE83" s="144"/>
      <c r="AF83" s="144"/>
      <c r="AG83" s="144"/>
      <c r="AH83" s="144"/>
      <c r="AI83" s="144"/>
      <c r="AJ83" s="144"/>
      <c r="AK83" s="144"/>
      <c r="AL83" s="144"/>
      <c r="AM83" s="144"/>
      <c r="AN83" s="144"/>
      <c r="AO83" s="144"/>
      <c r="AP83" s="144"/>
      <c r="AQ83" s="144"/>
      <c r="AR83" s="144"/>
    </row>
  </sheetData>
  <mergeCells count="11">
    <mergeCell ref="AJ62:AO63"/>
    <mergeCell ref="AJ64:AO67"/>
    <mergeCell ref="E1:AN6"/>
    <mergeCell ref="AJ25:AO28"/>
    <mergeCell ref="AJ36:AO37"/>
    <mergeCell ref="AJ38:AO41"/>
    <mergeCell ref="AJ49:AO50"/>
    <mergeCell ref="AJ51:AO54"/>
    <mergeCell ref="AJ10:AO11"/>
    <mergeCell ref="AJ12:AO15"/>
    <mergeCell ref="AJ23:AO2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Project Instructions</vt:lpstr>
      <vt:lpstr>Final Project Dataset</vt:lpstr>
      <vt:lpstr>Task_1_DT</vt:lpstr>
      <vt:lpstr>Task_2_Fltr</vt:lpstr>
      <vt:lpstr>Task_3_CF</vt:lpstr>
      <vt:lpstr>Task_4_TS</vt:lpstr>
      <vt:lpstr>Task_5_WA</vt:lpstr>
      <vt:lpstr>Scenario Summary</vt:lpstr>
      <vt:lpstr>Task_6 LR</vt:lpstr>
      <vt:lpstr>Task_7_DA</vt:lpstr>
      <vt:lpstr>Task_8 HVC</vt:lpstr>
      <vt:lpstr>Task_9FP</vt:lpstr>
      <vt:lpstr>Task_10_LC</vt:lpstr>
      <vt:lpstr>Task_11_ABB</vt:lpstr>
      <vt:lpstr>Final_Report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Kote</dc:creator>
  <cp:lastModifiedBy>pratik patil</cp:lastModifiedBy>
  <dcterms:created xsi:type="dcterms:W3CDTF">2026-05-28T09:31:19Z</dcterms:created>
  <dcterms:modified xsi:type="dcterms:W3CDTF">2026-05-29T11:36:24Z</dcterms:modified>
</cp:coreProperties>
</file>